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1.xml.rels" ContentType="application/vnd.openxmlformats-package.relationships+xml"/>
  <Override PartName="/xl/worksheets/_rels/sheet28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2.xml" ContentType="application/vnd.openxmlformats-officedocument.spreadsheetml.table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3.xml" ContentType="application/vnd.openxmlformats-officedocument.spreadsheetml.table+xml"/>
  <Override PartName="/xl/tables/table4.xml" ContentType="application/vnd.openxmlformats-officedocument.spreadsheetml.table+xml"/>
  <Override PartName="/xl/tables/table28.xml" ContentType="application/vnd.openxmlformats-officedocument.spreadsheetml.table+xml"/>
  <Override PartName="/xl/tables/table30.xml" ContentType="application/vnd.openxmlformats-officedocument.spreadsheetml.table+xml"/>
  <Override PartName="/xl/tables/table29.xml" ContentType="application/vnd.openxmlformats-officedocument.spreadsheetml.table+xml"/>
  <Override PartName="/xl/tables/table31.xml" ContentType="application/vnd.openxmlformats-officedocument.spreadsheetml.table+xml"/>
  <Override PartName="/xl/tables/table3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3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ummary" sheetId="1" state="visible" r:id="rId3"/>
    <sheet name="ORGINAL" sheetId="2" state="visible" r:id="rId4"/>
    <sheet name="Sheet30" sheetId="3" state="hidden" r:id="rId5"/>
    <sheet name="Student list" sheetId="4" state="visible" r:id="rId6"/>
    <sheet name="MASSIVE 24A " sheetId="5" state="hidden" r:id="rId7"/>
    <sheet name="MASSIVE  24B" sheetId="6" state="hidden" r:id="rId8"/>
    <sheet name="MASSIVE  25A" sheetId="7" state="hidden" r:id="rId9"/>
    <sheet name="MASSIVE 25B" sheetId="8" state="hidden" r:id="rId10"/>
    <sheet name="MASSIVE 25C" sheetId="9" state="hidden" r:id="rId11"/>
    <sheet name="MASSIVE 25F সন্ধ্যাকালীন " sheetId="10" state="hidden" r:id="rId12"/>
    <sheet name="MASSIVE  25D" sheetId="11" state="hidden" r:id="rId13"/>
    <sheet name="MASSIVE 25E" sheetId="12" state="hidden" r:id="rId14"/>
    <sheet name="MASSIVE 25G" sheetId="13" state="hidden" r:id="rId15"/>
    <sheet name="MASSIVE 25H" sheetId="14" state="hidden" r:id="rId16"/>
    <sheet name="MASSIVE 25J" sheetId="15" state="hidden" r:id="rId17"/>
    <sheet name="MASSIVE 25K" sheetId="16" state="hidden" r:id="rId18"/>
    <sheet name="MJLI-12" sheetId="17" state="visible" r:id="rId19"/>
    <sheet name="MJLI-13" sheetId="18" state="visible" r:id="rId20"/>
    <sheet name="MJLI 14" sheetId="19" state="visible" r:id="rId21"/>
    <sheet name="MJLI 15" sheetId="20" state="visible" r:id="rId22"/>
    <sheet name="N4-26A" sheetId="21" state="visible" r:id="rId23"/>
    <sheet name="N4-26B" sheetId="22" state="visible" r:id="rId24"/>
    <sheet name="MJLI 16" sheetId="23" state="visible" r:id="rId25"/>
    <sheet name="MJLI 17" sheetId="24" state="visible" r:id="rId26"/>
    <sheet name="MJLI 18" sheetId="25" state="visible" r:id="rId27"/>
    <sheet name="MJLI 19" sheetId="26" state="visible" r:id="rId28"/>
    <sheet name="MJLI 20" sheetId="27" state="visible" r:id="rId29"/>
    <sheet name="N4 26C" sheetId="28" state="visible" r:id="rId30"/>
    <sheet name="MJLI-21" sheetId="29" state="visible" r:id="rId31"/>
    <sheet name="MJLI 22" sheetId="30" state="visible" r:id="rId32"/>
    <sheet name="ATT_DATA" sheetId="31" state="hidden" r:id="rId33"/>
  </sheets>
  <definedNames>
    <definedName function="false" hidden="true" localSheetId="0" name="_xlnm._FilterDatabase" vbProcedure="false">'Master Summary'!$A$1:$L$409</definedName>
    <definedName function="false" hidden="true" localSheetId="24" name="_xlnm._FilterDatabase" vbProcedure="false">'MJLI 18'!$A$1:$I$26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<sst xmlns="http://schemas.openxmlformats.org/spreadsheetml/2006/main" count="4862" uniqueCount="1739">
  <si>
    <t xml:space="preserve">SL</t>
  </si>
  <si>
    <t xml:space="preserve">Batch</t>
  </si>
  <si>
    <t xml:space="preserve">Course Status</t>
  </si>
  <si>
    <t xml:space="preserve">Student ID</t>
  </si>
  <si>
    <t xml:space="preserve">Student Name</t>
  </si>
  <si>
    <t xml:space="preserve">Mobile Number</t>
  </si>
  <si>
    <t xml:space="preserve">Guardian Number</t>
  </si>
  <si>
    <t xml:space="preserve">Present</t>
  </si>
  <si>
    <t xml:space="preserve">Absent</t>
  </si>
  <si>
    <t xml:space="preserve">Excused</t>
  </si>
  <si>
    <t xml:space="preserve">Total Classes Recorded</t>
  </si>
  <si>
    <t xml:space="preserve">Attendance %</t>
  </si>
  <si>
    <t xml:space="preserve">MASSIVE 24A </t>
  </si>
  <si>
    <t xml:space="preserve">Complete</t>
  </si>
  <si>
    <t xml:space="preserve">No attendance sheet</t>
  </si>
  <si>
    <t xml:space="preserve">MASSIVE  24B</t>
  </si>
  <si>
    <t xml:space="preserve">MASSIVE  25A</t>
  </si>
  <si>
    <t xml:space="preserve">MASSIVE 25B</t>
  </si>
  <si>
    <t xml:space="preserve">MASSIVE 25C</t>
  </si>
  <si>
    <t xml:space="preserve">MASSIVE 25F সন্ধ্যাকালীন </t>
  </si>
  <si>
    <t xml:space="preserve">MASSIVE  25D</t>
  </si>
  <si>
    <t xml:space="preserve">MASSIVE 25E</t>
  </si>
  <si>
    <t xml:space="preserve">MASSIVE 25G</t>
  </si>
  <si>
    <t xml:space="preserve">MASSIVE 25H</t>
  </si>
  <si>
    <t xml:space="preserve">MASSIVE 25J</t>
  </si>
  <si>
    <t xml:space="preserve">COMPLETE</t>
  </si>
  <si>
    <t xml:space="preserve">MASSIVE 25K</t>
  </si>
  <si>
    <t xml:space="preserve">MJLI-12</t>
  </si>
  <si>
    <t xml:space="preserve">MJLI-13</t>
  </si>
  <si>
    <t xml:space="preserve">CLOSEED</t>
  </si>
  <si>
    <t xml:space="preserve">MJLI 14</t>
  </si>
  <si>
    <t xml:space="preserve">complete</t>
  </si>
  <si>
    <t xml:space="preserve">MJLI 15</t>
  </si>
  <si>
    <t xml:space="preserve">RUNNING</t>
  </si>
  <si>
    <t xml:space="preserve">N4-26A</t>
  </si>
  <si>
    <t xml:space="preserve">N4-26B</t>
  </si>
  <si>
    <t xml:space="preserve">MJLI 16</t>
  </si>
  <si>
    <t xml:space="preserve">CLOSED</t>
  </si>
  <si>
    <t xml:space="preserve">MJLI 17</t>
  </si>
  <si>
    <t xml:space="preserve">MJLI 18</t>
  </si>
  <si>
    <t xml:space="preserve">MJLI 19</t>
  </si>
  <si>
    <t xml:space="preserve">MJLI 20</t>
  </si>
  <si>
    <t xml:space="preserve">N4 26C</t>
  </si>
  <si>
    <t xml:space="preserve">MJLI-21</t>
  </si>
  <si>
    <t xml:space="preserve">MJLI 22</t>
  </si>
  <si>
    <t xml:space="preserve">MASSIVE 25G সকাল ১০টা থেকে ১২টা</t>
  </si>
  <si>
    <t xml:space="preserve">Course Duration</t>
  </si>
  <si>
    <t xml:space="preserve">Course Status : </t>
  </si>
  <si>
    <t xml:space="preserve">SL NO.</t>
  </si>
  <si>
    <t xml:space="preserve">Student
ID</t>
  </si>
  <si>
    <t xml:space="preserve">Date Of Birth</t>
  </si>
  <si>
    <t xml:space="preserve">Guarantor</t>
  </si>
  <si>
    <t xml:space="preserve">Relationship With
Guarantor</t>
  </si>
  <si>
    <t xml:space="preserve">COMMENT</t>
  </si>
  <si>
    <t xml:space="preserve">`18</t>
  </si>
  <si>
    <t xml:space="preserve">     </t>
  </si>
  <si>
    <t xml:space="preserve">    </t>
  </si>
  <si>
    <t xml:space="preserve">STUDENT VISA </t>
  </si>
  <si>
    <t xml:space="preserve">SL.</t>
  </si>
  <si>
    <t xml:space="preserve">Id No</t>
  </si>
  <si>
    <t xml:space="preserve">Name</t>
  </si>
  <si>
    <t xml:space="preserve">Number</t>
  </si>
  <si>
    <t xml:space="preserve">Class</t>
  </si>
  <si>
    <t xml:space="preserve">UPDATE </t>
  </si>
  <si>
    <t xml:space="preserve">Afroza Akter Ria</t>
  </si>
  <si>
    <t xml:space="preserve">01757-501979</t>
  </si>
  <si>
    <t xml:space="preserve">Rifat Islam Apurbo</t>
  </si>
  <si>
    <t xml:space="preserve">01836-813717</t>
  </si>
  <si>
    <t xml:space="preserve">Md Yeahia Khan Zihad</t>
  </si>
  <si>
    <t xml:space="preserve">01732-821850</t>
  </si>
  <si>
    <t xml:space="preserve">Niyaz Morshed</t>
  </si>
  <si>
    <t xml:space="preserve">01816-335423</t>
  </si>
  <si>
    <t xml:space="preserve">Mehedi Hasan</t>
  </si>
  <si>
    <t xml:space="preserve">01761-865845</t>
  </si>
  <si>
    <t xml:space="preserve">MASSIVE 25I N4</t>
  </si>
  <si>
    <t xml:space="preserve">Md Abdul Alim</t>
  </si>
  <si>
    <t xml:space="preserve">01735-956866</t>
  </si>
  <si>
    <t xml:space="preserve">MASSIVE 24A</t>
  </si>
  <si>
    <t xml:space="preserve">Hasibul Alom Rapty</t>
  </si>
  <si>
    <t xml:space="preserve">01683-871353</t>
  </si>
  <si>
    <t xml:space="preserve">Jabed Hosain</t>
  </si>
  <si>
    <t xml:space="preserve">01935-827859</t>
  </si>
  <si>
    <t xml:space="preserve">Mst Nusrat Jahan Neela</t>
  </si>
  <si>
    <t xml:space="preserve">01912-834664</t>
  </si>
  <si>
    <t xml:space="preserve">Kamruna Akter</t>
  </si>
  <si>
    <t xml:space="preserve">01731-302196</t>
  </si>
  <si>
    <t xml:space="preserve">Ehsanul Bari</t>
  </si>
  <si>
    <t xml:space="preserve">01957-007394</t>
  </si>
  <si>
    <t xml:space="preserve">Jesan Khan</t>
  </si>
  <si>
    <t xml:space="preserve">01716-025629</t>
  </si>
  <si>
    <t xml:space="preserve">Sumaiya Arefin Sumu</t>
  </si>
  <si>
    <t xml:space="preserve">01784-883491</t>
  </si>
  <si>
    <t xml:space="preserve">Hasibul Hasan Hasib</t>
  </si>
  <si>
    <t xml:space="preserve">01997-735946</t>
  </si>
  <si>
    <t xml:space="preserve">Shagor Mondol</t>
  </si>
  <si>
    <t xml:space="preserve">01884-338224/ 01712-097253</t>
  </si>
  <si>
    <t xml:space="preserve">Md. Junayed Goni</t>
  </si>
  <si>
    <t xml:space="preserve">01639-141041</t>
  </si>
  <si>
    <t xml:space="preserve">Md.  Asadozzaman Sadir </t>
  </si>
  <si>
    <t xml:space="preserve">01614-935456</t>
  </si>
  <si>
    <t xml:space="preserve">Shikin</t>
  </si>
  <si>
    <t xml:space="preserve">01897-607430</t>
  </si>
  <si>
    <t xml:space="preserve">Mohammed Riad</t>
  </si>
  <si>
    <t xml:space="preserve">01881-363564</t>
  </si>
  <si>
    <t xml:space="preserve">ONLY FILE PROCESSING</t>
  </si>
  <si>
    <t xml:space="preserve">Md Arif Hossain</t>
  </si>
  <si>
    <t xml:space="preserve">Tahamida Islam</t>
  </si>
  <si>
    <t xml:space="preserve">01992-302780</t>
  </si>
  <si>
    <t xml:space="preserve">Sohanur Rahman Sohag</t>
  </si>
  <si>
    <t xml:space="preserve">01956-245865</t>
  </si>
  <si>
    <t xml:space="preserve">Minhajul Abedin Sihab</t>
  </si>
  <si>
    <t xml:space="preserve">01310-561280</t>
  </si>
  <si>
    <t xml:space="preserve">Md Mahim Chokder</t>
  </si>
  <si>
    <t xml:space="preserve">01735-718862</t>
  </si>
  <si>
    <t xml:space="preserve">Md Omar Faruk</t>
  </si>
  <si>
    <t xml:space="preserve">01311-462754</t>
  </si>
  <si>
    <t xml:space="preserve">Mahadi Hasan Fardin</t>
  </si>
  <si>
    <t xml:space="preserve">01622-788915</t>
  </si>
  <si>
    <t xml:space="preserve">MASSIVE 25F</t>
  </si>
  <si>
    <t xml:space="preserve">Md Yousuf</t>
  </si>
  <si>
    <t xml:space="preserve">Shak Md Rahin</t>
  </si>
  <si>
    <t xml:space="preserve">01720-385466</t>
  </si>
  <si>
    <t xml:space="preserve">Mahinur Ahmed</t>
  </si>
  <si>
    <t xml:space="preserve">01903-557838</t>
  </si>
  <si>
    <t xml:space="preserve">Md Solaiman Sheikh</t>
  </si>
  <si>
    <t xml:space="preserve">01818-209125</t>
  </si>
  <si>
    <t xml:space="preserve">Sanjidur Rahman</t>
  </si>
  <si>
    <t xml:space="preserve">0187-7681497</t>
  </si>
  <si>
    <t xml:space="preserve">Tabassum Jidni Shoha</t>
  </si>
  <si>
    <t xml:space="preserve">01825-401806</t>
  </si>
  <si>
    <t xml:space="preserve">Al Jubair</t>
  </si>
  <si>
    <t xml:space="preserve">01873-652079</t>
  </si>
  <si>
    <t xml:space="preserve">Tonmoy Mallik</t>
  </si>
  <si>
    <t xml:space="preserve">01856-666518</t>
  </si>
  <si>
    <t xml:space="preserve">Pronob Kumar Das</t>
  </si>
  <si>
    <t xml:space="preserve">01792-160685</t>
  </si>
  <si>
    <t xml:space="preserve">Md Anamul Hasan Sabbir</t>
  </si>
  <si>
    <t xml:space="preserve">01828-023752</t>
  </si>
  <si>
    <t xml:space="preserve">Yeamin Senriabat</t>
  </si>
  <si>
    <t xml:space="preserve">01828-960337</t>
  </si>
  <si>
    <t xml:space="preserve">Kawshar Hasan Sumit</t>
  </si>
  <si>
    <t xml:space="preserve">01300-774779</t>
  </si>
  <si>
    <t xml:space="preserve">Md Jubaer Hossain</t>
  </si>
  <si>
    <t xml:space="preserve">01978-705578</t>
  </si>
  <si>
    <t xml:space="preserve">Nusrat Jahan</t>
  </si>
  <si>
    <t xml:space="preserve">01614-937695</t>
  </si>
  <si>
    <t xml:space="preserve">Abdullah Sarker Ovi</t>
  </si>
  <si>
    <t xml:space="preserve">01939-988433</t>
  </si>
  <si>
    <t xml:space="preserve">MASSIVE 25H, MASSIVE 25K</t>
  </si>
  <si>
    <t xml:space="preserve">Sahadat Hossain Dipu</t>
  </si>
  <si>
    <t xml:space="preserve">01905-085910</t>
  </si>
  <si>
    <t xml:space="preserve">01992-090405</t>
  </si>
  <si>
    <t xml:space="preserve">Md Zumman Hossain Rifat</t>
  </si>
  <si>
    <t xml:space="preserve">01914-013365</t>
  </si>
  <si>
    <t xml:space="preserve">Md. Naymul Islam </t>
  </si>
  <si>
    <t xml:space="preserve">01827-820017</t>
  </si>
  <si>
    <t xml:space="preserve">Rayhan Miah</t>
  </si>
  <si>
    <t xml:space="preserve">01568-531847</t>
  </si>
  <si>
    <t xml:space="preserve">Abdullah Al Sajib</t>
  </si>
  <si>
    <t xml:space="preserve">01836-645626</t>
  </si>
  <si>
    <t xml:space="preserve">Md Fardin</t>
  </si>
  <si>
    <t xml:space="preserve">01862-113786</t>
  </si>
  <si>
    <t xml:space="preserve">Siam Ahmed Azim</t>
  </si>
  <si>
    <t xml:space="preserve">01731-843407</t>
  </si>
  <si>
    <t xml:space="preserve">Md Emon</t>
  </si>
  <si>
    <t xml:space="preserve">01818-086458</t>
  </si>
  <si>
    <t xml:space="preserve">Rifat Hossain</t>
  </si>
  <si>
    <t xml:space="preserve">01518-405331</t>
  </si>
  <si>
    <t xml:space="preserve">Saminul Islam Shimul</t>
  </si>
  <si>
    <t xml:space="preserve">01739-508577</t>
  </si>
  <si>
    <t xml:space="preserve">Rabbi Mia</t>
  </si>
  <si>
    <t xml:space="preserve">01860-526566</t>
  </si>
  <si>
    <t xml:space="preserve">Julian Leon Baroi</t>
  </si>
  <si>
    <t xml:space="preserve">01533-931417</t>
  </si>
  <si>
    <t xml:space="preserve">Mst Humayra Tabassum Mahi</t>
  </si>
  <si>
    <t xml:space="preserve">Md Tanim Patwary</t>
  </si>
  <si>
    <t xml:space="preserve">Dip Roy</t>
  </si>
  <si>
    <t xml:space="preserve">01749-387312</t>
  </si>
  <si>
    <t xml:space="preserve">Mst Anika </t>
  </si>
  <si>
    <t xml:space="preserve">01779-063625</t>
  </si>
  <si>
    <t xml:space="preserve">Md Tuhin Sarkar</t>
  </si>
  <si>
    <t xml:space="preserve">01825-954506</t>
  </si>
  <si>
    <t xml:space="preserve">Rubaya Sultana Rumana</t>
  </si>
  <si>
    <t xml:space="preserve">01760-877543</t>
  </si>
  <si>
    <t xml:space="preserve">Md Tanvir Bhuiyan</t>
  </si>
  <si>
    <t xml:space="preserve">01783-373127</t>
  </si>
  <si>
    <t xml:space="preserve">Salma Akter</t>
  </si>
  <si>
    <t xml:space="preserve">01951-640366</t>
  </si>
  <si>
    <t xml:space="preserve">Angon Sarkar</t>
  </si>
  <si>
    <t xml:space="preserve">01530-074774</t>
  </si>
  <si>
    <t xml:space="preserve">Yead Hasan</t>
  </si>
  <si>
    <t xml:space="preserve">01306-427452</t>
  </si>
  <si>
    <t xml:space="preserve">Naomi Kabir</t>
  </si>
  <si>
    <t xml:space="preserve">01627-330756</t>
  </si>
  <si>
    <t xml:space="preserve">Md. Ashraful</t>
  </si>
  <si>
    <t xml:space="preserve">01787-108095</t>
  </si>
  <si>
    <t xml:space="preserve">MJLI 12</t>
  </si>
  <si>
    <t xml:space="preserve">Md Asraf Hossain</t>
  </si>
  <si>
    <t xml:space="preserve">01400-306842</t>
  </si>
  <si>
    <t xml:space="preserve">Md Sowayeed Sawban</t>
  </si>
  <si>
    <t xml:space="preserve">01945-409980</t>
  </si>
  <si>
    <t xml:space="preserve">Ayon Saha</t>
  </si>
  <si>
    <t xml:space="preserve">01647-148607</t>
  </si>
  <si>
    <t xml:space="preserve">Was Kuroni Haque Nipu</t>
  </si>
  <si>
    <t xml:space="preserve">01402-818391</t>
  </si>
  <si>
    <t xml:space="preserve">Morsalin Sheikh</t>
  </si>
  <si>
    <t xml:space="preserve">01328-237431</t>
  </si>
  <si>
    <t xml:space="preserve">Sadia Islam  </t>
  </si>
  <si>
    <t xml:space="preserve">01876-519488</t>
  </si>
  <si>
    <t xml:space="preserve">Boishakhi Akter</t>
  </si>
  <si>
    <t xml:space="preserve">01969-023576</t>
  </si>
  <si>
    <t xml:space="preserve">Tonmoy Das</t>
  </si>
  <si>
    <t xml:space="preserve">01877-814141</t>
  </si>
  <si>
    <t xml:space="preserve">MJLI 13</t>
  </si>
  <si>
    <t xml:space="preserve">Shovo Das</t>
  </si>
  <si>
    <t xml:space="preserve">01781-847450</t>
  </si>
  <si>
    <t xml:space="preserve">cp</t>
  </si>
  <si>
    <t xml:space="preserve">DATE</t>
  </si>
  <si>
    <t xml:space="preserve">NAME </t>
  </si>
  <si>
    <t xml:space="preserve">NUMBER </t>
  </si>
  <si>
    <t xml:space="preserve">REF.</t>
  </si>
  <si>
    <t xml:space="preserve">SHAMIM</t>
  </si>
  <si>
    <t xml:space="preserve">01324-724989</t>
  </si>
  <si>
    <t xml:space="preserve">SONDHA KALIN</t>
  </si>
  <si>
    <t xml:space="preserve">SALEHA  AKTER SIKHA </t>
  </si>
  <si>
    <t xml:space="preserve">01776-203072</t>
  </si>
  <si>
    <t xml:space="preserve">MEHEDI HASAN </t>
  </si>
  <si>
    <t xml:space="preserve">01834-306998</t>
  </si>
  <si>
    <t xml:space="preserve">NEW BATCH</t>
  </si>
  <si>
    <t xml:space="preserve">Omit Mollik</t>
  </si>
  <si>
    <t xml:space="preserve">01789-774090</t>
  </si>
  <si>
    <t xml:space="preserve">Tonmoy Mollik</t>
  </si>
  <si>
    <t xml:space="preserve">Shahnewaj</t>
  </si>
  <si>
    <t xml:space="preserve">01825-136954</t>
  </si>
  <si>
    <t xml:space="preserve">SOJIB</t>
  </si>
  <si>
    <t xml:space="preserve">01319-347720</t>
  </si>
  <si>
    <t xml:space="preserve">maksud alom</t>
  </si>
  <si>
    <t xml:space="preserve">01992-932246</t>
  </si>
  <si>
    <t xml:space="preserve">  </t>
  </si>
  <si>
    <t xml:space="preserve">Rahat</t>
  </si>
  <si>
    <t xml:space="preserve">01793-688129</t>
  </si>
  <si>
    <t xml:space="preserve">jan mase </t>
  </si>
  <si>
    <t xml:space="preserve">   </t>
  </si>
  <si>
    <t xml:space="preserve">Sumaiya</t>
  </si>
  <si>
    <t xml:space="preserve">sagor vai </t>
  </si>
  <si>
    <t xml:space="preserve">sayem sarker</t>
  </si>
  <si>
    <t xml:space="preserve">01755-939460</t>
  </si>
  <si>
    <t xml:space="preserve">RAKIB</t>
  </si>
  <si>
    <t xml:space="preserve">N4</t>
  </si>
  <si>
    <t xml:space="preserve">ANISUR JAMAN</t>
  </si>
  <si>
    <t xml:space="preserve">01894-804951</t>
  </si>
  <si>
    <t xml:space="preserve">MD ABDUL JABBOR</t>
  </si>
  <si>
    <t xml:space="preserve">01957-969126</t>
  </si>
  <si>
    <t xml:space="preserve">suma paul</t>
  </si>
  <si>
    <t xml:space="preserve">01622-993120</t>
  </si>
  <si>
    <t xml:space="preserve">new batch</t>
  </si>
  <si>
    <t xml:space="preserve">Ridul</t>
  </si>
  <si>
    <t xml:space="preserve">01815-471090</t>
  </si>
  <si>
    <t xml:space="preserve">jabed </t>
  </si>
  <si>
    <t xml:space="preserve">SHAKIL VAI </t>
  </si>
  <si>
    <t xml:space="preserve">01970-016544</t>
  </si>
  <si>
    <t xml:space="preserve">01608-068552</t>
  </si>
  <si>
    <t xml:space="preserve">MD OPU</t>
  </si>
  <si>
    <t xml:space="preserve">01974-555483</t>
  </si>
  <si>
    <t xml:space="preserve">COMPUTER DOKAN </t>
  </si>
  <si>
    <t xml:space="preserve">DIN MOHAMOD</t>
  </si>
  <si>
    <t xml:space="preserve">01915-155555</t>
  </si>
  <si>
    <t xml:space="preserve">01609-728911</t>
  </si>
  <si>
    <t xml:space="preserve">014049-38126</t>
  </si>
  <si>
    <t xml:space="preserve">016400-46781</t>
  </si>
  <si>
    <t xml:space="preserve">01714-394866</t>
  </si>
  <si>
    <t xml:space="preserve">016080-68552</t>
  </si>
  <si>
    <t xml:space="preserve">SABBIR AHMED </t>
  </si>
  <si>
    <t xml:space="preserve">01630-107374</t>
  </si>
  <si>
    <t xml:space="preserve">MEHRAB</t>
  </si>
  <si>
    <t xml:space="preserve">01768-211968</t>
  </si>
  <si>
    <t xml:space="preserve">rakib</t>
  </si>
  <si>
    <t xml:space="preserve">MD AWLAD HOSSAIN</t>
  </si>
  <si>
    <t xml:space="preserve">01799-300800</t>
  </si>
  <si>
    <t xml:space="preserve">TARIF</t>
  </si>
  <si>
    <t xml:space="preserve">01760-127998</t>
  </si>
  <si>
    <t xml:space="preserve">SUSMITA AKTER EVA</t>
  </si>
  <si>
    <t xml:space="preserve">01991-464360</t>
  </si>
  <si>
    <t xml:space="preserve">OMIT</t>
  </si>
  <si>
    <t xml:space="preserve">01963-605906</t>
  </si>
  <si>
    <t xml:space="preserve">RASEDUL ISLAM</t>
  </si>
  <si>
    <t xml:space="preserve">01821-665275</t>
  </si>
  <si>
    <t xml:space="preserve">25/02/2026</t>
  </si>
  <si>
    <t xml:space="preserve">MD SELIM</t>
  </si>
  <si>
    <t xml:space="preserve">01796-409850</t>
  </si>
  <si>
    <t xml:space="preserve">MD FERDOS</t>
  </si>
  <si>
    <t xml:space="preserve">01586-090181</t>
  </si>
  <si>
    <t xml:space="preserve">28/02/2027</t>
  </si>
  <si>
    <t xml:space="preserve">jahid </t>
  </si>
  <si>
    <t xml:space="preserve">01612-061037</t>
  </si>
  <si>
    <t xml:space="preserve">puspa</t>
  </si>
  <si>
    <t xml:space="preserve">01955-104800</t>
  </si>
  <si>
    <t xml:space="preserve">samid</t>
  </si>
  <si>
    <t xml:space="preserve">01873-181302</t>
  </si>
  <si>
    <t xml:space="preserve">sagor</t>
  </si>
  <si>
    <t xml:space="preserve">01790-375455</t>
  </si>
  <si>
    <t xml:space="preserve">30/02/2027</t>
  </si>
  <si>
    <t xml:space="preserve">EMON</t>
  </si>
  <si>
    <t xml:space="preserve">01754-634951</t>
  </si>
  <si>
    <t xml:space="preserve">N5</t>
  </si>
  <si>
    <t xml:space="preserve">Course Duration:</t>
  </si>
  <si>
    <t xml:space="preserve">Course Status : Complete</t>
  </si>
  <si>
    <t xml:space="preserve">MD YEAHIA KHAN ZIHAD</t>
  </si>
  <si>
    <t xml:space="preserve">01676-508815</t>
  </si>
  <si>
    <t xml:space="preserve">27/08/2005</t>
  </si>
  <si>
    <t xml:space="preserve">NIYAZ MORSHED</t>
  </si>
  <si>
    <t xml:space="preserve">01854-043818</t>
  </si>
  <si>
    <t xml:space="preserve">31/08/2003</t>
  </si>
  <si>
    <t xml:space="preserve">MOINUL HASAN</t>
  </si>
  <si>
    <t xml:space="preserve">01867-072375</t>
  </si>
  <si>
    <t xml:space="preserve">MD ASIQUJJMAN TAMIM</t>
  </si>
  <si>
    <t xml:space="preserve">01818-093643</t>
  </si>
  <si>
    <t xml:space="preserve">01711-271062</t>
  </si>
  <si>
    <t xml:space="preserve">20/02/2003</t>
  </si>
  <si>
    <t xml:space="preserve">MEHEDI HASAN</t>
  </si>
  <si>
    <t xml:space="preserve">01628-357219</t>
  </si>
  <si>
    <t xml:space="preserve">14/08/2005</t>
  </si>
  <si>
    <t xml:space="preserve">MD ABU ZAFAR</t>
  </si>
  <si>
    <t xml:space="preserve">01326-241930</t>
  </si>
  <si>
    <t xml:space="preserve">01816-572569</t>
  </si>
  <si>
    <t xml:space="preserve">MD ABUL ALIM</t>
  </si>
  <si>
    <t xml:space="preserve">01850-405109</t>
  </si>
  <si>
    <t xml:space="preserve">MD ZAHADUR RAHMAN</t>
  </si>
  <si>
    <t xml:space="preserve">01937-171494</t>
  </si>
  <si>
    <t xml:space="preserve">16/12/1982</t>
  </si>
  <si>
    <t xml:space="preserve">MD SAHADAT HOSSAIN</t>
  </si>
  <si>
    <t xml:space="preserve">01401-452420</t>
  </si>
  <si>
    <t xml:space="preserve">018622-89200</t>
  </si>
  <si>
    <t xml:space="preserve">15/06/2005</t>
  </si>
  <si>
    <t xml:space="preserve">ARMAN HOSSAIN SHEIKH</t>
  </si>
  <si>
    <t xml:space="preserve">01796-589722</t>
  </si>
  <si>
    <t xml:space="preserve">01315-334552</t>
  </si>
  <si>
    <t xml:space="preserve">20/12/2004</t>
  </si>
  <si>
    <t xml:space="preserve">SIMU HOSSAIN</t>
  </si>
  <si>
    <t xml:space="preserve">01732-805995</t>
  </si>
  <si>
    <t xml:space="preserve">17/07/2003</t>
  </si>
  <si>
    <t xml:space="preserve">ARIF JAMAN</t>
  </si>
  <si>
    <t xml:space="preserve">01402-815649</t>
  </si>
  <si>
    <t xml:space="preserve">01622-993487</t>
  </si>
  <si>
    <t xml:space="preserve">25/12/2002</t>
  </si>
  <si>
    <t xml:space="preserve">HASIBUL ALOM RAPTY</t>
  </si>
  <si>
    <t xml:space="preserve">N/A</t>
  </si>
  <si>
    <t xml:space="preserve">01990-290405</t>
  </si>
  <si>
    <t xml:space="preserve">KISHARA KIBRIA RIYA</t>
  </si>
  <si>
    <t xml:space="preserve">01312-625945</t>
  </si>
  <si>
    <t xml:space="preserve">01913-419496</t>
  </si>
  <si>
    <t xml:space="preserve">22/09/2003</t>
  </si>
  <si>
    <t xml:space="preserve">HABIBUL SHIMANTO</t>
  </si>
  <si>
    <t xml:space="preserve">01860-020671</t>
  </si>
  <si>
    <t xml:space="preserve">01628-808591</t>
  </si>
  <si>
    <t xml:space="preserve">FARHAN KHAN SUVO</t>
  </si>
  <si>
    <t xml:space="preserve">01916-927676</t>
  </si>
  <si>
    <t xml:space="preserve">01758-100992</t>
  </si>
  <si>
    <t xml:space="preserve">JABED HOSAIN</t>
  </si>
  <si>
    <t xml:space="preserve">01815-682829</t>
  </si>
  <si>
    <t xml:space="preserve">MST NUSRAT JAHAN NEELA</t>
  </si>
  <si>
    <t xml:space="preserve">n/a</t>
  </si>
  <si>
    <t xml:space="preserve">01987-031668</t>
  </si>
  <si>
    <t xml:space="preserve">MD EBRAHIM HASAN</t>
  </si>
  <si>
    <t xml:space="preserve">01608-876825</t>
  </si>
  <si>
    <t xml:space="preserve">MD SHAHJALAL</t>
  </si>
  <si>
    <t xml:space="preserve">01883-543069</t>
  </si>
  <si>
    <t xml:space="preserve">17/10/2005</t>
  </si>
  <si>
    <t xml:space="preserve">KAMRUNA AKTER</t>
  </si>
  <si>
    <t xml:space="preserve">01961-686060</t>
  </si>
  <si>
    <t xml:space="preserve">25/02/2003</t>
  </si>
  <si>
    <t xml:space="preserve">RIDOY</t>
  </si>
  <si>
    <t xml:space="preserve">EHSANUL BARI</t>
  </si>
  <si>
    <t xml:space="preserve">01921-458135</t>
  </si>
  <si>
    <t xml:space="preserve">SUNJIDA NAHAR SHUMIYA </t>
  </si>
  <si>
    <t xml:space="preserve">01730-845444</t>
  </si>
  <si>
    <t xml:space="preserve">20/06/1999</t>
  </si>
  <si>
    <t xml:space="preserve">MD AHANAF ADIL</t>
  </si>
  <si>
    <t xml:space="preserve">01978-349007</t>
  </si>
  <si>
    <t xml:space="preserve">28/02/2007</t>
  </si>
  <si>
    <t xml:space="preserve">JESAN KHAN</t>
  </si>
  <si>
    <t xml:space="preserve">01764-299473</t>
  </si>
  <si>
    <t xml:space="preserve">24/09/2006</t>
  </si>
  <si>
    <t xml:space="preserve">JAMAL MIAH</t>
  </si>
  <si>
    <t xml:space="preserve">01705-287924</t>
  </si>
  <si>
    <t xml:space="preserve">01862-274133</t>
  </si>
  <si>
    <t xml:space="preserve">28/05/2003</t>
  </si>
  <si>
    <t xml:space="preserve">28</t>
  </si>
  <si>
    <t xml:space="preserve">Rifat Foraji</t>
  </si>
  <si>
    <t xml:space="preserve">204</t>
  </si>
  <si>
    <t xml:space="preserve">01779-38885</t>
  </si>
  <si>
    <t xml:space="preserve">01721-068412</t>
  </si>
  <si>
    <t xml:space="preserve">06/09/2002</t>
  </si>
  <si>
    <t xml:space="preserve">MASSIVE 24B</t>
  </si>
  <si>
    <t xml:space="preserve">STUDENT
ID</t>
  </si>
  <si>
    <t xml:space="preserve">SUVRA  MALAKER</t>
  </si>
  <si>
    <t xml:space="preserve">01674-470243</t>
  </si>
  <si>
    <t xml:space="preserve">01521-216898</t>
  </si>
  <si>
    <t xml:space="preserve">18/09/1990</t>
  </si>
  <si>
    <t xml:space="preserve">MD AFNAN HOSEN ALIF</t>
  </si>
  <si>
    <t xml:space="preserve">01303-844242</t>
  </si>
  <si>
    <t xml:space="preserve">21/01/2003</t>
  </si>
  <si>
    <t xml:space="preserve">JAHURA AKTER</t>
  </si>
  <si>
    <t xml:space="preserve">01720-234626</t>
  </si>
  <si>
    <t xml:space="preserve">15/01/2007</t>
  </si>
  <si>
    <t xml:space="preserve">MD ARIF MIAH</t>
  </si>
  <si>
    <t xml:space="preserve">01619-745810</t>
  </si>
  <si>
    <t xml:space="preserve">01887-403519</t>
  </si>
  <si>
    <t xml:space="preserve">31/12/2002</t>
  </si>
  <si>
    <t xml:space="preserve">MEHADI HASAN</t>
  </si>
  <si>
    <t xml:space="preserve">01705-062132</t>
  </si>
  <si>
    <t xml:space="preserve">01571-425749</t>
  </si>
  <si>
    <t xml:space="preserve">MD KAMRUL ISLAM ASHIK</t>
  </si>
  <si>
    <t xml:space="preserve">01840-520260</t>
  </si>
  <si>
    <t xml:space="preserve">01516-789519</t>
  </si>
  <si>
    <t xml:space="preserve">15/04/1996</t>
  </si>
  <si>
    <t xml:space="preserve">MD ALAUDDIN </t>
  </si>
  <si>
    <t xml:space="preserve">01995-072029</t>
  </si>
  <si>
    <t xml:space="preserve">01886-347582</t>
  </si>
  <si>
    <t xml:space="preserve">17/05/2002</t>
  </si>
  <si>
    <t xml:space="preserve">KAWSER AHAMED</t>
  </si>
  <si>
    <t xml:space="preserve">01887-397509</t>
  </si>
  <si>
    <t xml:space="preserve">01644-352805</t>
  </si>
  <si>
    <t xml:space="preserve">14/12/2003</t>
  </si>
  <si>
    <t xml:space="preserve">MAHABUB HASAN SHUVO</t>
  </si>
  <si>
    <t xml:space="preserve">01842-115268</t>
  </si>
  <si>
    <t xml:space="preserve">01720-044163</t>
  </si>
  <si>
    <t xml:space="preserve">27/11/204</t>
  </si>
  <si>
    <t xml:space="preserve">JANNAT FATEMA</t>
  </si>
  <si>
    <t xml:space="preserve">01762-404885</t>
  </si>
  <si>
    <t xml:space="preserve">26/07/1997</t>
  </si>
  <si>
    <t xml:space="preserve">SURAIYA AHMED</t>
  </si>
  <si>
    <t xml:space="preserve">01712-331187</t>
  </si>
  <si>
    <t xml:space="preserve">17/09/1996</t>
  </si>
  <si>
    <t xml:space="preserve">SHEIKH SEAMUR RAHMAN NIBIR</t>
  </si>
  <si>
    <t xml:space="preserve">01639-566941</t>
  </si>
  <si>
    <t xml:space="preserve">01301-483707</t>
  </si>
  <si>
    <t xml:space="preserve">RIFAT ISLAM APURBO</t>
  </si>
  <si>
    <t xml:space="preserve">01945-199316</t>
  </si>
  <si>
    <t xml:space="preserve">AKTER HOSSAIN</t>
  </si>
  <si>
    <t xml:space="preserve">01568-477334</t>
  </si>
  <si>
    <t xml:space="preserve">01568-477339</t>
  </si>
  <si>
    <t xml:space="preserve">ROKEYA HOSSAIN</t>
  </si>
  <si>
    <t xml:space="preserve">01994-685177</t>
  </si>
  <si>
    <t xml:space="preserve">01710-149544</t>
  </si>
  <si>
    <t xml:space="preserve">JANNATUL FERDOUS PAYEL</t>
  </si>
  <si>
    <t xml:space="preserve">01537-309614</t>
  </si>
  <si>
    <t xml:space="preserve">01712-988967</t>
  </si>
  <si>
    <t xml:space="preserve">19/02/2004</t>
  </si>
  <si>
    <t xml:space="preserve">RAHAT HOSASIN</t>
  </si>
  <si>
    <t xml:space="preserve">01701-023059</t>
  </si>
  <si>
    <t xml:space="preserve">01712-643903</t>
  </si>
  <si>
    <t xml:space="preserve">24/07/1998</t>
  </si>
  <si>
    <t xml:space="preserve">SURMA AKTER</t>
  </si>
  <si>
    <t xml:space="preserve">01994-897008</t>
  </si>
  <si>
    <t xml:space="preserve">01914-020262</t>
  </si>
  <si>
    <t xml:space="preserve">MD MAHBUBUR RAHMAN RIFAT</t>
  </si>
  <si>
    <t xml:space="preserve">01762-529307</t>
  </si>
  <si>
    <t xml:space="preserve">24/01/2002</t>
  </si>
  <si>
    <t xml:space="preserve">ISMAIL</t>
  </si>
  <si>
    <t xml:space="preserve">01810-864000</t>
  </si>
  <si>
    <t xml:space="preserve">01734-452122</t>
  </si>
  <si>
    <t xml:space="preserve">MDD FAISAL</t>
  </si>
  <si>
    <t xml:space="preserve">01683-243468</t>
  </si>
  <si>
    <t xml:space="preserve">26/10/1999</t>
  </si>
  <si>
    <t xml:space="preserve">RAYSUL AHMED BAPON</t>
  </si>
  <si>
    <t xml:space="preserve">01812-696836</t>
  </si>
  <si>
    <t xml:space="preserve">01795-186061</t>
  </si>
  <si>
    <t xml:space="preserve">29/08/2006</t>
  </si>
  <si>
    <t xml:space="preserve">MD RAYHAN </t>
  </si>
  <si>
    <t xml:space="preserve">01815-256701</t>
  </si>
  <si>
    <t xml:space="preserve">01924-936245</t>
  </si>
  <si>
    <t xml:space="preserve">25/12/1999</t>
  </si>
  <si>
    <t xml:space="preserve">SAMSUN NAHAR TAMIM</t>
  </si>
  <si>
    <t xml:space="preserve">01580-850198</t>
  </si>
  <si>
    <t xml:space="preserve">01963-088014</t>
  </si>
  <si>
    <t xml:space="preserve">MD ZUBAYER AHMED</t>
  </si>
  <si>
    <t xml:space="preserve">01639-145662</t>
  </si>
  <si>
    <t xml:space="preserve">01711-694854</t>
  </si>
  <si>
    <t xml:space="preserve">RUBEL</t>
  </si>
  <si>
    <t xml:space="preserve">01866-105368</t>
  </si>
  <si>
    <t xml:space="preserve">01986-90738</t>
  </si>
  <si>
    <t xml:space="preserve">MD SHUAYEEB HOSSAIN</t>
  </si>
  <si>
    <t xml:space="preserve">01787-401109</t>
  </si>
  <si>
    <t xml:space="preserve">01749-504389</t>
  </si>
  <si>
    <t xml:space="preserve">MD MORSALIN </t>
  </si>
  <si>
    <t xml:space="preserve">01625-266066</t>
  </si>
  <si>
    <t xml:space="preserve">01911-331538</t>
  </si>
  <si>
    <t xml:space="preserve">23/12/2003</t>
  </si>
  <si>
    <t xml:space="preserve">FAHMIDA SUBNAM PRITY</t>
  </si>
  <si>
    <t xml:space="preserve">01614-415012</t>
  </si>
  <si>
    <t xml:space="preserve">25/05/2005</t>
  </si>
  <si>
    <t xml:space="preserve">MD ADNAN AHMED </t>
  </si>
  <si>
    <t xml:space="preserve">01885-576261</t>
  </si>
  <si>
    <t xml:space="preserve">01718-203491</t>
  </si>
  <si>
    <t xml:space="preserve">PRIYA AKTER MOU</t>
  </si>
  <si>
    <t xml:space="preserve">01676-627798</t>
  </si>
  <si>
    <t xml:space="preserve">01689-075790</t>
  </si>
  <si>
    <t xml:space="preserve">HAJERA AKTER</t>
  </si>
  <si>
    <t xml:space="preserve">01879-877425</t>
  </si>
  <si>
    <t xml:space="preserve">01882-891472</t>
  </si>
  <si>
    <t xml:space="preserve">MASSIVE 25A</t>
  </si>
  <si>
    <t xml:space="preserve">Nazmul Hasan</t>
  </si>
  <si>
    <t xml:space="preserve">Tanvir Hsosen</t>
  </si>
  <si>
    <t xml:space="preserve">Golam Rabbi Akash</t>
  </si>
  <si>
    <t xml:space="preserve">27/09/1999</t>
  </si>
  <si>
    <t xml:space="preserve">Md Miraj</t>
  </si>
  <si>
    <t xml:space="preserve">Nasrin Akter Lima</t>
  </si>
  <si>
    <t xml:space="preserve">Jubaer Abdullah Saad</t>
  </si>
  <si>
    <t xml:space="preserve">22/09/1997</t>
  </si>
  <si>
    <t xml:space="preserve">Shahriara Abdullah Shihab </t>
  </si>
  <si>
    <t xml:space="preserve">24/04/1994</t>
  </si>
  <si>
    <t xml:space="preserve">31/12/2004</t>
  </si>
  <si>
    <t xml:space="preserve">Riyad Khandaker</t>
  </si>
  <si>
    <t xml:space="preserve">14/08/2004</t>
  </si>
  <si>
    <t xml:space="preserve">Tamim Visty</t>
  </si>
  <si>
    <t xml:space="preserve">31/12/2005</t>
  </si>
  <si>
    <t xml:space="preserve">Md. Azizul Hakim</t>
  </si>
  <si>
    <t xml:space="preserve">25/11/1999</t>
  </si>
  <si>
    <t xml:space="preserve">Abdullah</t>
  </si>
  <si>
    <t xml:space="preserve">Massive 25C দুপুর  12:20  থেকে 2:20  (শনি- সোম- বুধ)</t>
  </si>
  <si>
    <t xml:space="preserve">Course Duration: 1 May - Oct 30</t>
  </si>
  <si>
    <t xml:space="preserve">Md Zehadur Rahman</t>
  </si>
  <si>
    <t xml:space="preserve">01676-099009</t>
  </si>
  <si>
    <t xml:space="preserve">01735-120196</t>
  </si>
  <si>
    <t xml:space="preserve">Md.Yeasin </t>
  </si>
  <si>
    <t xml:space="preserve">01874-783398</t>
  </si>
  <si>
    <t xml:space="preserve">0130-4366941</t>
  </si>
  <si>
    <t xml:space="preserve">01715-711748</t>
  </si>
  <si>
    <t xml:space="preserve">17/05/2003</t>
  </si>
  <si>
    <t xml:space="preserve">01571-028361</t>
  </si>
  <si>
    <t xml:space="preserve">01874-310361</t>
  </si>
  <si>
    <t xml:space="preserve">21/10/2000</t>
  </si>
  <si>
    <t xml:space="preserve">01720-677381</t>
  </si>
  <si>
    <t xml:space="preserve">01711-248541</t>
  </si>
  <si>
    <t xml:space="preserve">28/12/2003</t>
  </si>
  <si>
    <t xml:space="preserve">01755-593815</t>
  </si>
  <si>
    <t xml:space="preserve">01825-340824</t>
  </si>
  <si>
    <t xml:space="preserve">30/03/2009</t>
  </si>
  <si>
    <t xml:space="preserve">Faeria Akter Eva</t>
  </si>
  <si>
    <t xml:space="preserve">01860-972133</t>
  </si>
  <si>
    <t xml:space="preserve">01857-308825</t>
  </si>
  <si>
    <t xml:space="preserve">29/09/2001</t>
  </si>
  <si>
    <t xml:space="preserve">25/12/2001</t>
  </si>
  <si>
    <t xml:space="preserve">26/01/2004</t>
  </si>
  <si>
    <t xml:space="preserve">01719-050659</t>
  </si>
  <si>
    <t xml:space="preserve">Yousuf</t>
  </si>
  <si>
    <t xml:space="preserve">Riad</t>
  </si>
  <si>
    <t xml:space="preserve">Jarin Moni</t>
  </si>
  <si>
    <t xml:space="preserve">01792-480988</t>
  </si>
  <si>
    <t xml:space="preserve">01777-755327</t>
  </si>
  <si>
    <t xml:space="preserve">Zihad</t>
  </si>
  <si>
    <t xml:space="preserve">Sumu</t>
  </si>
  <si>
    <t xml:space="preserve">Chauty Akter</t>
  </si>
  <si>
    <t xml:space="preserve">01940-299971</t>
  </si>
  <si>
    <t xml:space="preserve">01937-077291</t>
  </si>
  <si>
    <t xml:space="preserve">Jony Jon Rozario</t>
  </si>
  <si>
    <t xml:space="preserve">01752-877522</t>
  </si>
  <si>
    <t xml:space="preserve">01941-308726</t>
  </si>
  <si>
    <t xml:space="preserve">Md Alamin Islam</t>
  </si>
  <si>
    <t xml:space="preserve">01932-784978</t>
  </si>
  <si>
    <t xml:space="preserve">01906-066894</t>
  </si>
  <si>
    <t xml:space="preserve">14/01/2003</t>
  </si>
  <si>
    <t xml:space="preserve">01944-436802</t>
  </si>
  <si>
    <t xml:space="preserve">26/05/2003</t>
  </si>
  <si>
    <t xml:space="preserve">Md Arafat</t>
  </si>
  <si>
    <t xml:space="preserve">01642-584573</t>
  </si>
  <si>
    <t xml:space="preserve">01689-001606</t>
  </si>
  <si>
    <t xml:space="preserve">Anamul Haque Anan</t>
  </si>
  <si>
    <t xml:space="preserve">01930-046355</t>
  </si>
  <si>
    <t xml:space="preserve">01922-093346</t>
  </si>
  <si>
    <t xml:space="preserve">19/05/1999</t>
  </si>
  <si>
    <t xml:space="preserve">Md Ali Hasan</t>
  </si>
  <si>
    <t xml:space="preserve">01997-644347</t>
  </si>
  <si>
    <t xml:space="preserve">01638-622424</t>
  </si>
  <si>
    <t xml:space="preserve">MASSIVE 25F সকাল ১০টা থেকে ১২টা  (শনি- সোম- বুধ)</t>
  </si>
  <si>
    <t xml:space="preserve">Course Duration: 5 JULY 25 - 31 DEC 25</t>
  </si>
  <si>
    <t xml:space="preserve">BLOOD GROUP</t>
  </si>
  <si>
    <t xml:space="preserve">RAYHAN KHAN</t>
  </si>
  <si>
    <t xml:space="preserve">01973-679741</t>
  </si>
  <si>
    <t xml:space="preserve">01758-490722</t>
  </si>
  <si>
    <t xml:space="preserve">MD SIHAB</t>
  </si>
  <si>
    <t xml:space="preserve">01316-316822</t>
  </si>
  <si>
    <t xml:space="preserve">01724-818179</t>
  </si>
  <si>
    <t xml:space="preserve">A+</t>
  </si>
  <si>
    <t xml:space="preserve">MAHADI HASAN FARDIN</t>
  </si>
  <si>
    <t xml:space="preserve">24/7/2006</t>
  </si>
  <si>
    <t xml:space="preserve">O+</t>
  </si>
  <si>
    <t xml:space="preserve">MD MAMUN HOSSAIN</t>
  </si>
  <si>
    <t xml:space="preserve">01912-863688</t>
  </si>
  <si>
    <t xml:space="preserve">24/08/1989</t>
  </si>
  <si>
    <t xml:space="preserve">RAYHAN HOSSAIN</t>
  </si>
  <si>
    <t xml:space="preserve">01840-504083</t>
  </si>
  <si>
    <t xml:space="preserve">MD TOPIBUL RAHMAN</t>
  </si>
  <si>
    <t xml:space="preserve">01329-521365</t>
  </si>
  <si>
    <t xml:space="preserve">17/07/1995</t>
  </si>
  <si>
    <t xml:space="preserve">SOJOL CONDRO DAS</t>
  </si>
  <si>
    <t xml:space="preserve">016411-45453</t>
  </si>
  <si>
    <t xml:space="preserve">MD MAHABUB ELAHI</t>
  </si>
  <si>
    <t xml:space="preserve">01301-696712</t>
  </si>
  <si>
    <t xml:space="preserve">01715-302880</t>
  </si>
  <si>
    <t xml:space="preserve">13/08/1998</t>
  </si>
  <si>
    <t xml:space="preserve">HOSSAIN ALI</t>
  </si>
  <si>
    <t xml:space="preserve">01673-958244</t>
  </si>
  <si>
    <t xml:space="preserve">MD MIRAZ KHAN</t>
  </si>
  <si>
    <t xml:space="preserve">01623-326052</t>
  </si>
  <si>
    <t xml:space="preserve">13/03/2003</t>
  </si>
  <si>
    <t xml:space="preserve">RIFAT HOSSAIN</t>
  </si>
  <si>
    <t xml:space="preserve">01718-707710</t>
  </si>
  <si>
    <t xml:space="preserve">MD MIRAJ</t>
  </si>
  <si>
    <t xml:space="preserve">01788-999180</t>
  </si>
  <si>
    <t xml:space="preserve">01973-899180</t>
  </si>
  <si>
    <t xml:space="preserve">SULTAN AHMED</t>
  </si>
  <si>
    <t xml:space="preserve">01918-692172</t>
  </si>
  <si>
    <t xml:space="preserve">ISHAQUE JAHAN SOIKAT </t>
  </si>
  <si>
    <t xml:space="preserve">01629-802488</t>
  </si>
  <si>
    <t xml:space="preserve">01830-938388</t>
  </si>
  <si>
    <t xml:space="preserve">B+</t>
  </si>
  <si>
    <t xml:space="preserve">Massive 25D (রবি, মঙ্গল, বৃহস্পতি :সকাল 10 টা থেকে 12টা)</t>
  </si>
  <si>
    <t xml:space="preserve">MD.ELIAS AKBOR </t>
  </si>
  <si>
    <t xml:space="preserve">01911-682069</t>
  </si>
  <si>
    <t xml:space="preserve">13/06/1987</t>
  </si>
  <si>
    <t xml:space="preserve">ABIR MAHAMUD</t>
  </si>
  <si>
    <t xml:space="preserve">01767-452555</t>
  </si>
  <si>
    <t xml:space="preserve">MD.JUNAYED GONII</t>
  </si>
  <si>
    <t xml:space="preserve">15/04/2000</t>
  </si>
  <si>
    <t xml:space="preserve">MD. ASHIK</t>
  </si>
  <si>
    <t xml:space="preserve">23/3/1999</t>
  </si>
  <si>
    <t xml:space="preserve">MD.ASADOZZAMAN SADIR </t>
  </si>
  <si>
    <t xml:space="preserve">NAHID</t>
  </si>
  <si>
    <t xml:space="preserve">14/04/1997</t>
  </si>
  <si>
    <t xml:space="preserve">MD BADRUL ALOM SORON</t>
  </si>
  <si>
    <t xml:space="preserve">22/11/1995</t>
  </si>
  <si>
    <t xml:space="preserve">LAMIA AKTER MIM</t>
  </si>
  <si>
    <t xml:space="preserve">01979-109557</t>
  </si>
  <si>
    <t xml:space="preserve">17/10/2004</t>
  </si>
  <si>
    <t xml:space="preserve">RIFAT HASAN</t>
  </si>
  <si>
    <t xml:space="preserve">01537-552123</t>
  </si>
  <si>
    <t xml:space="preserve">01540-781588</t>
  </si>
  <si>
    <t xml:space="preserve">MD.IKHTIYAR HOSEN</t>
  </si>
  <si>
    <t xml:space="preserve">01609-731308</t>
  </si>
  <si>
    <t xml:space="preserve">Massive 24E দুপুর  12:20  থেকে 2:20 (রবি, মঙ্গল, বৃহস্পতি)</t>
  </si>
  <si>
    <t xml:space="preserve">Course Duration: 20 JUNE - 20 DEC 2025 </t>
  </si>
  <si>
    <t xml:space="preserve">blood group</t>
  </si>
  <si>
    <t xml:space="preserve">MD MUFIDUL ISLAM NILOY</t>
  </si>
  <si>
    <t xml:space="preserve">01886-320981</t>
  </si>
  <si>
    <t xml:space="preserve">01681-010533</t>
  </si>
  <si>
    <t xml:space="preserve">23/12/1999</t>
  </si>
  <si>
    <t xml:space="preserve">MD MONTASIR RAHMAN</t>
  </si>
  <si>
    <t xml:space="preserve">01828-976616</t>
  </si>
  <si>
    <t xml:space="preserve">01759-129011</t>
  </si>
  <si>
    <t xml:space="preserve">30/11/2000</t>
  </si>
  <si>
    <t xml:space="preserve">ANIKA DEWAN</t>
  </si>
  <si>
    <t xml:space="preserve">01846-117102</t>
  </si>
  <si>
    <t xml:space="preserve">01301-054934</t>
  </si>
  <si>
    <t xml:space="preserve">MD MAHADI HASAN</t>
  </si>
  <si>
    <t xml:space="preserve">01533-465601</t>
  </si>
  <si>
    <t xml:space="preserve">19/2/2007</t>
  </si>
  <si>
    <t xml:space="preserve">HASAN Cokder</t>
  </si>
  <si>
    <t xml:space="preserve">01622-140141</t>
  </si>
  <si>
    <t xml:space="preserve">01877-811672</t>
  </si>
  <si>
    <t xml:space="preserve">28/09/1993</t>
  </si>
  <si>
    <t xml:space="preserve">EIFTI AHMED</t>
  </si>
  <si>
    <t xml:space="preserve">01875-318465</t>
  </si>
  <si>
    <t xml:space="preserve">01868-531499</t>
  </si>
  <si>
    <t xml:space="preserve">15/11/2000</t>
  </si>
  <si>
    <t xml:space="preserve">MD SHARIR HOSSEN</t>
  </si>
  <si>
    <t xml:space="preserve">01643-711825</t>
  </si>
  <si>
    <t xml:space="preserve">01714-451783</t>
  </si>
  <si>
    <t xml:space="preserve">AMINUL ISLAM JISUN</t>
  </si>
  <si>
    <t xml:space="preserve">01758-034945</t>
  </si>
  <si>
    <t xml:space="preserve">0171954-0296</t>
  </si>
  <si>
    <t xml:space="preserve">KOUSIK MITRA</t>
  </si>
  <si>
    <t xml:space="preserve">0130-5498009</t>
  </si>
  <si>
    <t xml:space="preserve">01712-741310</t>
  </si>
  <si>
    <t xml:space="preserve">ISTIAK AHMED</t>
  </si>
  <si>
    <t xml:space="preserve">01915-151185</t>
  </si>
  <si>
    <t xml:space="preserve">20/12/2009</t>
  </si>
  <si>
    <t xml:space="preserve">MD MURAD HASAN</t>
  </si>
  <si>
    <t xml:space="preserve">01772-320036</t>
  </si>
  <si>
    <t xml:space="preserve">01929-082894</t>
  </si>
  <si>
    <t xml:space="preserve">BM SAAMIR </t>
  </si>
  <si>
    <t xml:space="preserve">01782-220275</t>
  </si>
  <si>
    <t xml:space="preserve">01930-254509</t>
  </si>
  <si>
    <t xml:space="preserve">MASSIVE 25G সকাল ১০টা থেকে ১২টা  (শনি- সোম- বুধ)</t>
  </si>
  <si>
    <t xml:space="preserve"> Course Duration: (27 JULY 2025 - 30 JAN 2026)</t>
  </si>
  <si>
    <t xml:space="preserve">BOOK</t>
  </si>
  <si>
    <t xml:space="preserve">Relationship with
Guarantor</t>
  </si>
  <si>
    <t xml:space="preserve">Comment</t>
  </si>
  <si>
    <t xml:space="preserve">OK</t>
  </si>
  <si>
    <t xml:space="preserve">MD NAIM KHAN</t>
  </si>
  <si>
    <t xml:space="preserve">01629-787994</t>
  </si>
  <si>
    <t xml:space="preserve">01829-268803</t>
  </si>
  <si>
    <t xml:space="preserve">18/10/2001</t>
  </si>
  <si>
    <t xml:space="preserve">MD TOUFIK AHMED</t>
  </si>
  <si>
    <t xml:space="preserve">01339-633559</t>
  </si>
  <si>
    <t xml:space="preserve">01675-551262</t>
  </si>
  <si>
    <t xml:space="preserve">AB+</t>
  </si>
  <si>
    <t xml:space="preserve">26/09/2004</t>
  </si>
  <si>
    <t xml:space="preserve">AL SHAHRIA</t>
  </si>
  <si>
    <t xml:space="preserve">01560-015620</t>
  </si>
  <si>
    <t xml:space="preserve">01745-394026</t>
  </si>
  <si>
    <t xml:space="preserve">31/05/2005</t>
  </si>
  <si>
    <t xml:space="preserve">200 taka</t>
  </si>
  <si>
    <t xml:space="preserve">RASEDUL ISLAM TUSHAR</t>
  </si>
  <si>
    <t xml:space="preserve">01798-048367</t>
  </si>
  <si>
    <t xml:space="preserve">01789-262371</t>
  </si>
  <si>
    <t xml:space="preserve">A-</t>
  </si>
  <si>
    <t xml:space="preserve">21/12/1993</t>
  </si>
  <si>
    <t xml:space="preserve">MD MARUF HOSSAIN SIAM</t>
  </si>
  <si>
    <t xml:space="preserve">01984-348666</t>
  </si>
  <si>
    <t xml:space="preserve">01581-227286</t>
  </si>
  <si>
    <t xml:space="preserve">14/04/2001</t>
  </si>
  <si>
    <t xml:space="preserve">AL JUBAIR</t>
  </si>
  <si>
    <t xml:space="preserve">01823-417527</t>
  </si>
  <si>
    <t xml:space="preserve">MD.SADDAM HOSSAIN</t>
  </si>
  <si>
    <t xml:space="preserve">01734-812609</t>
  </si>
  <si>
    <t xml:space="preserve">01855-340041</t>
  </si>
  <si>
    <t xml:space="preserve">SHANTO MOLLIK</t>
  </si>
  <si>
    <t xml:space="preserve">01872-316793</t>
  </si>
  <si>
    <t xml:space="preserve">MUSFIQUR MAHMUD</t>
  </si>
  <si>
    <t xml:space="preserve">01788-444277</t>
  </si>
  <si>
    <t xml:space="preserve">01818-459512</t>
  </si>
  <si>
    <t xml:space="preserve">SIAM DEWAN</t>
  </si>
  <si>
    <t xml:space="preserve">01866-449803</t>
  </si>
  <si>
    <t xml:space="preserve">26/08/2007</t>
  </si>
  <si>
    <t xml:space="preserve">ANAMUL HASAN SABBIR </t>
  </si>
  <si>
    <t xml:space="preserve">01843-168007</t>
  </si>
  <si>
    <t xml:space="preserve">25/04/2005</t>
  </si>
  <si>
    <t xml:space="preserve">PRONOB KUMAR DAS</t>
  </si>
  <si>
    <t xml:space="preserve">01951-300381</t>
  </si>
  <si>
    <t xml:space="preserve">16/02/2001</t>
  </si>
  <si>
    <t xml:space="preserve">SAMINUL ISLAM SHIMUL</t>
  </si>
  <si>
    <t xml:space="preserve">01879-348008</t>
  </si>
  <si>
    <t xml:space="preserve">25/07/2006</t>
  </si>
  <si>
    <t xml:space="preserve">RAYHAN MIAH</t>
  </si>
  <si>
    <t xml:space="preserve">01581-860242</t>
  </si>
  <si>
    <t xml:space="preserve">YEAMIN SEHRIABAT</t>
  </si>
  <si>
    <t xml:space="preserve"> </t>
  </si>
  <si>
    <t xml:space="preserve">MUNNI AKTER</t>
  </si>
  <si>
    <t xml:space="preserve">01904-678823</t>
  </si>
  <si>
    <t xml:space="preserve">01999-952793</t>
  </si>
  <si>
    <t xml:space="preserve">20/01/2000</t>
  </si>
  <si>
    <t xml:space="preserve">MASSIVE 25H বিকাল ৩টা থেকে ৫টা (শনি- সোম- বুধ)</t>
  </si>
  <si>
    <t xml:space="preserve">Course Duration: (20 AUG 2025 - 31 FEB 2026)</t>
  </si>
  <si>
    <t xml:space="preserve">Blood Group</t>
  </si>
  <si>
    <t xml:space="preserve">KAWSHAR HASAN SUMIT</t>
  </si>
  <si>
    <t xml:space="preserve">01778-226707</t>
  </si>
  <si>
    <t xml:space="preserve">24/04/2004</t>
  </si>
  <si>
    <t xml:space="preserve">MD KAWSER HOSSAIN</t>
  </si>
  <si>
    <t xml:space="preserve">01766-278131</t>
  </si>
  <si>
    <t xml:space="preserve">01763-711911</t>
  </si>
  <si>
    <t xml:space="preserve">ARAF SIMANTO MRIDUL</t>
  </si>
  <si>
    <t xml:space="preserve">01811-441558</t>
  </si>
  <si>
    <t xml:space="preserve">01725-775775</t>
  </si>
  <si>
    <t xml:space="preserve">SHARIMIN NAHAR</t>
  </si>
  <si>
    <t xml:space="preserve">01745-729831</t>
  </si>
  <si>
    <t xml:space="preserve">01711-782996</t>
  </si>
  <si>
    <t xml:space="preserve">MD ZAHIDUL ISLAM</t>
  </si>
  <si>
    <t xml:space="preserve">01790-743935</t>
  </si>
  <si>
    <t xml:space="preserve">01711-474921</t>
  </si>
  <si>
    <t xml:space="preserve">16/08/2000</t>
  </si>
  <si>
    <t xml:space="preserve">SADIA ISLAM MIM</t>
  </si>
  <si>
    <t xml:space="preserve">01300-774575</t>
  </si>
  <si>
    <t xml:space="preserve">01920-945892</t>
  </si>
  <si>
    <t xml:space="preserve">MD NAJMUS SAKIB</t>
  </si>
  <si>
    <t xml:space="preserve">01627-912464</t>
  </si>
  <si>
    <t xml:space="preserve">01712-605976</t>
  </si>
  <si>
    <t xml:space="preserve">16/11/1999</t>
  </si>
  <si>
    <t xml:space="preserve">MD JUBAER HOSSAIN</t>
  </si>
  <si>
    <t xml:space="preserve">01715-050334</t>
  </si>
  <si>
    <t xml:space="preserve">MD MIDUL ISLAM</t>
  </si>
  <si>
    <t xml:space="preserve">01782-486851</t>
  </si>
  <si>
    <t xml:space="preserve">01728-161650</t>
  </si>
  <si>
    <t xml:space="preserve">NUSRAT JAHAN</t>
  </si>
  <si>
    <t xml:space="preserve">01623-874454</t>
  </si>
  <si>
    <t xml:space="preserve">28/09/2007</t>
  </si>
  <si>
    <t xml:space="preserve">SANJIDUR RAHMAN</t>
  </si>
  <si>
    <t xml:space="preserve">01877-681497</t>
  </si>
  <si>
    <t xml:space="preserve">01923-435458</t>
  </si>
  <si>
    <t xml:space="preserve">BILLAL HOSSAIN SHUVO</t>
  </si>
  <si>
    <t xml:space="preserve">01684-018734</t>
  </si>
  <si>
    <t xml:space="preserve">01817-113913</t>
  </si>
  <si>
    <t xml:space="preserve">24/10/1994</t>
  </si>
  <si>
    <t xml:space="preserve">ABDULLAH SARKER OVI</t>
  </si>
  <si>
    <t xml:space="preserve">01827-565646</t>
  </si>
  <si>
    <t xml:space="preserve">24/06/2006</t>
  </si>
  <si>
    <t xml:space="preserve">ABDUR RAHMAN </t>
  </si>
  <si>
    <t xml:space="preserve">01977-719584</t>
  </si>
  <si>
    <t xml:space="preserve">0+</t>
  </si>
  <si>
    <t xml:space="preserve">13/11/2007</t>
  </si>
  <si>
    <t xml:space="preserve">01606-515053</t>
  </si>
  <si>
    <t xml:space="preserve">NABIL AHAMED</t>
  </si>
  <si>
    <t xml:space="preserve">01797-459607</t>
  </si>
  <si>
    <t xml:space="preserve">01712-254957</t>
  </si>
  <si>
    <t xml:space="preserve">o+</t>
  </si>
  <si>
    <t xml:space="preserve">30/11/2007</t>
  </si>
  <si>
    <t xml:space="preserve">MD MOHIBULLAH RIYAD</t>
  </si>
  <si>
    <t xml:space="preserve">01798-837178</t>
  </si>
  <si>
    <t xml:space="preserve">ISMAIL HOSSAIN RAFIN</t>
  </si>
  <si>
    <t xml:space="preserve">01977-435967</t>
  </si>
  <si>
    <t xml:space="preserve">01717-435969</t>
  </si>
  <si>
    <t xml:space="preserve">15/12/2008</t>
  </si>
  <si>
    <t xml:space="preserve">MD ALAMIN</t>
  </si>
  <si>
    <t xml:space="preserve">01911-603824</t>
  </si>
  <si>
    <t xml:space="preserve">01712-063936</t>
  </si>
  <si>
    <t xml:space="preserve">MD PARVEJ</t>
  </si>
  <si>
    <t xml:space="preserve">01893-765596</t>
  </si>
  <si>
    <t xml:space="preserve">JUBAYER VAI </t>
  </si>
  <si>
    <t xml:space="preserve">   MASSIVE 25J সকাল ১০টা থেকে ১২টা (রবি, মঙ্গল, বৃহস্পতি)</t>
  </si>
  <si>
    <t xml:space="preserve">Course Duration: 14/09/25- 14/03/26</t>
  </si>
  <si>
    <t xml:space="preserve">Course Status : COMPLETE</t>
  </si>
  <si>
    <t xml:space="preserve">SHAHADAT HOSSAIN DIPU</t>
  </si>
  <si>
    <t xml:space="preserve">01925-286832</t>
  </si>
  <si>
    <t xml:space="preserve">KHADIZA</t>
  </si>
  <si>
    <t xml:space="preserve">01920-854042</t>
  </si>
  <si>
    <t xml:space="preserve">23/10/2004</t>
  </si>
  <si>
    <t xml:space="preserve">MD ABDUL MANNAN</t>
  </si>
  <si>
    <t xml:space="preserve">01914-878400</t>
  </si>
  <si>
    <t xml:space="preserve">01916-042621</t>
  </si>
  <si>
    <t xml:space="preserve">14/06/1987</t>
  </si>
  <si>
    <t xml:space="preserve">MD NAYMUL ISLAM</t>
  </si>
  <si>
    <t xml:space="preserve">19/07/2007</t>
  </si>
  <si>
    <t xml:space="preserve">RAMIM AKTER</t>
  </si>
  <si>
    <t xml:space="preserve">01742-740084</t>
  </si>
  <si>
    <t xml:space="preserve">01344-403427</t>
  </si>
  <si>
    <t xml:space="preserve">MD NOBIN</t>
  </si>
  <si>
    <t xml:space="preserve">01886-685229</t>
  </si>
  <si>
    <t xml:space="preserve">01629-165254</t>
  </si>
  <si>
    <t xml:space="preserve">19/11/2006</t>
  </si>
  <si>
    <t xml:space="preserve">MD SHAWON</t>
  </si>
  <si>
    <t xml:space="preserve">01400-990381</t>
  </si>
  <si>
    <t xml:space="preserve">01712-870750</t>
  </si>
  <si>
    <t xml:space="preserve">ABDULLAH AL SAJIB</t>
  </si>
  <si>
    <t xml:space="preserve">MD EMON</t>
  </si>
  <si>
    <t xml:space="preserve">01621-088691</t>
  </si>
  <si>
    <t xml:space="preserve">O-</t>
  </si>
  <si>
    <t xml:space="preserve">MD FARDIN</t>
  </si>
  <si>
    <t xml:space="preserve">SIAM AHMED AZIM</t>
  </si>
  <si>
    <t xml:space="preserve">01968-420819</t>
  </si>
  <si>
    <t xml:space="preserve">26/08/2005</t>
  </si>
  <si>
    <t xml:space="preserve">ISHAQUE JAHAN SAIKAT</t>
  </si>
  <si>
    <t xml:space="preserve">31/12/1999</t>
  </si>
  <si>
    <t xml:space="preserve">NAOMI KABIR</t>
  </si>
  <si>
    <t xml:space="preserve">01727-798779</t>
  </si>
  <si>
    <t xml:space="preserve">18/11/2004</t>
  </si>
  <si>
    <t xml:space="preserve">MASSIVE 25K দুপুর ৩টা থেকে ৫টা (রবি, মঙ্গল, বৃহস্পতি)</t>
  </si>
  <si>
    <t xml:space="preserve">Course Duration: 21/10/25- 21/05/26</t>
  </si>
  <si>
    <t xml:space="preserve">01766-078688</t>
  </si>
  <si>
    <t xml:space="preserve">01756-866761/0137281719</t>
  </si>
  <si>
    <t xml:space="preserve">Md Kashfim Dewan</t>
  </si>
  <si>
    <t xml:space="preserve">01956-397723</t>
  </si>
  <si>
    <t xml:space="preserve">01733-509688</t>
  </si>
  <si>
    <t xml:space="preserve">Imtiaz Ahamed</t>
  </si>
  <si>
    <t xml:space="preserve">01312-363631</t>
  </si>
  <si>
    <t xml:space="preserve">01540-110836</t>
  </si>
  <si>
    <t xml:space="preserve">01983-467220</t>
  </si>
  <si>
    <t xml:space="preserve">Amitosh Mondal</t>
  </si>
  <si>
    <t xml:space="preserve">01707-647084</t>
  </si>
  <si>
    <t xml:space="preserve">01623-828327</t>
  </si>
  <si>
    <t xml:space="preserve">01733-716077</t>
  </si>
  <si>
    <t xml:space="preserve">Md Easin Sonnamat</t>
  </si>
  <si>
    <t xml:space="preserve">019925-59028</t>
  </si>
  <si>
    <t xml:space="preserve">01718-054018</t>
  </si>
  <si>
    <t xml:space="preserve">Foysal Ahmed </t>
  </si>
  <si>
    <t xml:space="preserve">01766-952913</t>
  </si>
  <si>
    <t xml:space="preserve">01727-963314</t>
  </si>
  <si>
    <t xml:space="preserve">01813-607411</t>
  </si>
  <si>
    <t xml:space="preserve">01718-309320</t>
  </si>
  <si>
    <t xml:space="preserve">01988-164878</t>
  </si>
  <si>
    <t xml:space="preserve">01915-8449778</t>
  </si>
  <si>
    <t xml:space="preserve">Md Easin</t>
  </si>
  <si>
    <t xml:space="preserve">01717-941739</t>
  </si>
  <si>
    <t xml:space="preserve">01727-749966</t>
  </si>
  <si>
    <t xml:space="preserve">01772-298186</t>
  </si>
  <si>
    <t xml:space="preserve">MJLI-12 সকাল ১২টা থেকে ২টা (রবি, মঙ্গল, বৃহস্পতি)</t>
  </si>
  <si>
    <t xml:space="preserve">Course Duration: 25/11/25- 25/04/26</t>
  </si>
  <si>
    <t xml:space="preserve">Student
NAME</t>
  </si>
  <si>
    <t xml:space="preserve">MD ASHRAFUL</t>
  </si>
  <si>
    <t xml:space="preserve">AYON SAHA</t>
  </si>
  <si>
    <t xml:space="preserve">01725-770875</t>
  </si>
  <si>
    <t xml:space="preserve">MORSALIN SHEIKH</t>
  </si>
  <si>
    <t xml:space="preserve">01595-057239</t>
  </si>
  <si>
    <t xml:space="preserve">RIFAT HOSSEN</t>
  </si>
  <si>
    <t xml:space="preserve">01735-472206</t>
  </si>
  <si>
    <t xml:space="preserve">01724-778279</t>
  </si>
  <si>
    <t xml:space="preserve">MD  JUNAYED HOSSAIN OMI</t>
  </si>
  <si>
    <t xml:space="preserve">01302-601415</t>
  </si>
  <si>
    <t xml:space="preserve">24/01/2007</t>
  </si>
  <si>
    <t xml:space="preserve">SUMAIYA ISLAM</t>
  </si>
  <si>
    <t xml:space="preserve">01904-289237</t>
  </si>
  <si>
    <t xml:space="preserve">01820-118616</t>
  </si>
  <si>
    <t xml:space="preserve">Mohammad Abdullah</t>
  </si>
  <si>
    <t xml:space="preserve">01606-588070</t>
  </si>
  <si>
    <t xml:space="preserve">JANNATUL FERDOUS AHONA</t>
  </si>
  <si>
    <t xml:space="preserve">01629-427117</t>
  </si>
  <si>
    <t xml:space="preserve">01676-474979</t>
  </si>
  <si>
    <t xml:space="preserve">o-</t>
  </si>
  <si>
    <t xml:space="preserve">BIDHAN  CHANDRA MONDAL </t>
  </si>
  <si>
    <t xml:space="preserve">01817-470730</t>
  </si>
  <si>
    <t xml:space="preserve">01865-728884</t>
  </si>
  <si>
    <t xml:space="preserve">MEHEDI HASSAN</t>
  </si>
  <si>
    <t xml:space="preserve">TAMANNA AKTER</t>
  </si>
  <si>
    <t xml:space="preserve">MD ASRAF HOSSAIN</t>
  </si>
  <si>
    <t xml:space="preserve">MD SOWAYEED SAWBAN</t>
  </si>
  <si>
    <t xml:space="preserve">MD SAJIB SARKER</t>
  </si>
  <si>
    <t xml:space="preserve">WAS KURONI HAQUE NIPU</t>
  </si>
  <si>
    <t xml:space="preserve">MJLI-13 সকাল ১০টা থেকে ১২টা (শনি- সোম- বুধ)</t>
  </si>
  <si>
    <t xml:space="preserve">Course Duration: 05/01/26- 05/05/26</t>
  </si>
  <si>
    <t xml:space="preserve">Course Status : CLOSEED</t>
  </si>
  <si>
    <t xml:space="preserve">STUDENT ID</t>
  </si>
  <si>
    <t xml:space="preserve">TONMOY DAS</t>
  </si>
  <si>
    <t xml:space="preserve">01760-592788</t>
  </si>
  <si>
    <t xml:space="preserve">SHOVO DAS</t>
  </si>
  <si>
    <t xml:space="preserve">01722-006745</t>
  </si>
  <si>
    <t xml:space="preserve">MD NOMAN</t>
  </si>
  <si>
    <t xml:space="preserve">01404-938126</t>
  </si>
  <si>
    <t xml:space="preserve">01991-573706</t>
  </si>
  <si>
    <t xml:space="preserve">SIFAT</t>
  </si>
  <si>
    <t xml:space="preserve">01307-717082</t>
  </si>
  <si>
    <t xml:space="preserve">01611-953126</t>
  </si>
  <si>
    <t xml:space="preserve">ROSNI AKTER</t>
  </si>
  <si>
    <t xml:space="preserve">01996-412874</t>
  </si>
  <si>
    <t xml:space="preserve">01796-579940</t>
  </si>
  <si>
    <t xml:space="preserve">01825-102613</t>
  </si>
  <si>
    <t xml:space="preserve">01928-384029</t>
  </si>
  <si>
    <t xml:space="preserve">01902-818391</t>
  </si>
  <si>
    <t xml:space="preserve">01978-316040</t>
  </si>
  <si>
    <t xml:space="preserve">IRFAN AHMED GOUROB</t>
  </si>
  <si>
    <t xml:space="preserve">01404-663420</t>
  </si>
  <si>
    <t xml:space="preserve">01955-802900</t>
  </si>
  <si>
    <t xml:space="preserve">MD RASHEDUL ISLAM</t>
  </si>
  <si>
    <t xml:space="preserve">01916-569053</t>
  </si>
  <si>
    <t xml:space="preserve">MJLI-14 দুপুর ৩টা থেকে ৫টা(শনি- সোম- বুধ)</t>
  </si>
  <si>
    <t xml:space="preserve">Course Duration 09/02/2026-09/06/2026</t>
  </si>
  <si>
    <t xml:space="preserve">Course Status : complete</t>
  </si>
  <si>
    <t xml:space="preserve">Sinthea</t>
  </si>
  <si>
    <t xml:space="preserve">01717-391918</t>
  </si>
  <si>
    <t xml:space="preserve">01631-798461</t>
  </si>
  <si>
    <t xml:space="preserve">24/03/2008</t>
  </si>
  <si>
    <t xml:space="preserve">Jannatul Islam Hridika</t>
  </si>
  <si>
    <t xml:space="preserve">01973-298060</t>
  </si>
  <si>
    <t xml:space="preserve">01708-186362</t>
  </si>
  <si>
    <t xml:space="preserve">Rokibul Islam</t>
  </si>
  <si>
    <t xml:space="preserve">01818-927715</t>
  </si>
  <si>
    <t xml:space="preserve">01836-135671</t>
  </si>
  <si>
    <t xml:space="preserve">Fahim Islam Rahim</t>
  </si>
  <si>
    <t xml:space="preserve">01934-229461</t>
  </si>
  <si>
    <t xml:space="preserve">01740-633208</t>
  </si>
  <si>
    <t xml:space="preserve">Jannatul Ferdusi Sima</t>
  </si>
  <si>
    <t xml:space="preserve">01568-351073</t>
  </si>
  <si>
    <t xml:space="preserve">01746-657901</t>
  </si>
  <si>
    <t xml:space="preserve">Meherab Hossain</t>
  </si>
  <si>
    <t xml:space="preserve">01721-407081</t>
  </si>
  <si>
    <t xml:space="preserve">21/12/2005</t>
  </si>
  <si>
    <t xml:space="preserve">Amit Ghosh</t>
  </si>
  <si>
    <t xml:space="preserve">01771-623676</t>
  </si>
  <si>
    <t xml:space="preserve">MD. Shamim Sheikh</t>
  </si>
  <si>
    <t xml:space="preserve">01930-045973</t>
  </si>
  <si>
    <t xml:space="preserve">01951-142528</t>
  </si>
  <si>
    <t xml:space="preserve">18/1/2000</t>
  </si>
  <si>
    <t xml:space="preserve">UMAIZA AKTER</t>
  </si>
  <si>
    <t xml:space="preserve">AKIB </t>
  </si>
  <si>
    <t xml:space="preserve">01919-807785</t>
  </si>
  <si>
    <t xml:space="preserve">01614-913087</t>
  </si>
  <si>
    <t xml:space="preserve">01401-646581</t>
  </si>
  <si>
    <t xml:space="preserve">21/12/2003</t>
  </si>
  <si>
    <t xml:space="preserve">HASAN SHEIKH</t>
  </si>
  <si>
    <t xml:space="preserve">01612-178884</t>
  </si>
  <si>
    <t xml:space="preserve">01937-891048</t>
  </si>
  <si>
    <t xml:space="preserve">MD. JISAN</t>
  </si>
  <si>
    <t xml:space="preserve">01613-352953</t>
  </si>
  <si>
    <t xml:space="preserve">MJLI15 সকাল ১০টা থেকে ১২টা (রবি, মঙ্গল, বৃহস্পতি)</t>
  </si>
  <si>
    <t xml:space="preserve"> (🟢ACTIVE)/(🟡NOT ACTIVE)/(🔵IRREGULAR) (🟣TOP)</t>
  </si>
  <si>
    <t xml:space="preserve">Course Duration 12/04/2026-12/10/2026</t>
  </si>
  <si>
    <t xml:space="preserve">Course Status : RUNNING</t>
  </si>
  <si>
    <t xml:space="preserve">ISTIAK AHMED🟢</t>
  </si>
  <si>
    <t xml:space="preserve">01782-577082</t>
  </si>
  <si>
    <t xml:space="preserve">01715-423779</t>
  </si>
  <si>
    <t xml:space="preserve">FATHER</t>
  </si>
  <si>
    <t xml:space="preserve">MD RAYHAN MIA🟢</t>
  </si>
  <si>
    <t xml:space="preserve">014096-35121</t>
  </si>
  <si>
    <t xml:space="preserve">01985-522368</t>
  </si>
  <si>
    <t xml:space="preserve">31/12/2000</t>
  </si>
  <si>
    <t xml:space="preserve">ARIF HOSSAIN MUNNA🟢</t>
  </si>
  <si>
    <t xml:space="preserve">01966-221626</t>
  </si>
  <si>
    <t xml:space="preserve">01752-108800</t>
  </si>
  <si>
    <t xml:space="preserve">25/2/2006</t>
  </si>
  <si>
    <t xml:space="preserve">MAMA</t>
  </si>
  <si>
    <t xml:space="preserve">SANJIDA KHAN SHUCHI🟢</t>
  </si>
  <si>
    <t xml:space="preserve">01337-341963</t>
  </si>
  <si>
    <t xml:space="preserve">01720-259100</t>
  </si>
  <si>
    <t xml:space="preserve">AKASH KHAN 🟡</t>
  </si>
  <si>
    <t xml:space="preserve">01705-198149</t>
  </si>
  <si>
    <t xml:space="preserve">01710-085632</t>
  </si>
  <si>
    <t xml:space="preserve">MAHADI HASAN🟢</t>
  </si>
  <si>
    <t xml:space="preserve">01570-237176</t>
  </si>
  <si>
    <t xml:space="preserve">01533-608018</t>
  </si>
  <si>
    <t xml:space="preserve">URMI AKTER🔵</t>
  </si>
  <si>
    <t xml:space="preserve">01753-649532</t>
  </si>
  <si>
    <t xml:space="preserve">01796-101256</t>
  </si>
  <si>
    <t xml:space="preserve">15/1/2001</t>
  </si>
  <si>
    <t xml:space="preserve">TUSHAR BHUIYAN🟡</t>
  </si>
  <si>
    <t xml:space="preserve">01938-366068</t>
  </si>
  <si>
    <t xml:space="preserve">01642-420850</t>
  </si>
  <si>
    <t xml:space="preserve">25/1/2001</t>
  </si>
  <si>
    <t xml:space="preserve">BROTHER</t>
  </si>
  <si>
    <t xml:space="preserve">ATIKUR RAHMAN SINHAT🔵</t>
  </si>
  <si>
    <t xml:space="preserve">01842-535513</t>
  </si>
  <si>
    <t xml:space="preserve">01910-441518</t>
  </si>
  <si>
    <t xml:space="preserve">AMIMUL EHASAN🟡</t>
  </si>
  <si>
    <t xml:space="preserve">01906-828007</t>
  </si>
  <si>
    <t xml:space="preserve">01777-809997</t>
  </si>
  <si>
    <t xml:space="preserve">LAMIA UMMA SADIA🟣</t>
  </si>
  <si>
    <t xml:space="preserve">01636-660963</t>
  </si>
  <si>
    <t xml:space="preserve">01537-337270</t>
  </si>
  <si>
    <t xml:space="preserve">27/10/2004</t>
  </si>
  <si>
    <t xml:space="preserve">MD SUMON HOSSAIN🟢</t>
  </si>
  <si>
    <t xml:space="preserve">01717-245534</t>
  </si>
  <si>
    <t xml:space="preserve">SAIMUR RAHMAN SIAM🟣</t>
  </si>
  <si>
    <t xml:space="preserve">01892-738541</t>
  </si>
  <si>
    <t xml:space="preserve">WAHIDUL ISLAM SAFAYET🟡</t>
  </si>
  <si>
    <t xml:space="preserve">01720-653079</t>
  </si>
  <si>
    <t xml:space="preserve">01794-162506</t>
  </si>
  <si>
    <t xml:space="preserve">30/3/2005</t>
  </si>
  <si>
    <t xml:space="preserve">MOTHER</t>
  </si>
  <si>
    <t xml:space="preserve">GOPAL NAG🟣</t>
  </si>
  <si>
    <t xml:space="preserve">01841-909597</t>
  </si>
  <si>
    <t xml:space="preserve">MUNNA MD NASER AHMED🟣</t>
  </si>
  <si>
    <t xml:space="preserve">01793-246555</t>
  </si>
  <si>
    <t xml:space="preserve">01713-004889</t>
  </si>
  <si>
    <t xml:space="preserve">31/12/1994</t>
  </si>
  <si>
    <t xml:space="preserve">MASSIVE N4 MORNING BATCH (১২ টা থেকে ২ টা শনি - সোম - বুধ)</t>
  </si>
  <si>
    <t xml:space="preserve">Course Duration: 4/4/2026-4/8/2026</t>
  </si>
  <si>
    <t xml:space="preserve">MD TAWHID </t>
  </si>
  <si>
    <t xml:space="preserve">01643-873866</t>
  </si>
  <si>
    <t xml:space="preserve">01810-514924</t>
  </si>
  <si>
    <t xml:space="preserve">16</t>
  </si>
  <si>
    <t xml:space="preserve">MASSIVE N4-26B ৪টা থেকে ৬টা (রবি, মঙ্গল, বৃহস্পতি)</t>
  </si>
  <si>
    <t xml:space="preserve">Course Duration 17/5/2026-17/9/2026</t>
  </si>
  <si>
    <t xml:space="preserve">PAYMENT</t>
  </si>
  <si>
    <t xml:space="preserve">SALMA AKTER</t>
  </si>
  <si>
    <t xml:space="preserve">DIP ROY</t>
  </si>
  <si>
    <t xml:space="preserve">RABBY MIA</t>
  </si>
  <si>
    <t xml:space="preserve">NUSHRAT</t>
  </si>
  <si>
    <t xml:space="preserve">FAYSAL AHMED</t>
  </si>
  <si>
    <t xml:space="preserve">SADIA  ISLAM</t>
  </si>
  <si>
    <t xml:space="preserve">01799-444255</t>
  </si>
  <si>
    <t xml:space="preserve">NAHAR SHOVA</t>
  </si>
  <si>
    <t xml:space="preserve">MD. IBRAHIM HASAN</t>
  </si>
  <si>
    <t xml:space="preserve">01967-1130214</t>
  </si>
  <si>
    <t xml:space="preserve">RIFAT SIKDER</t>
  </si>
  <si>
    <t xml:space="preserve">01811-489631</t>
  </si>
  <si>
    <t xml:space="preserve">01745-669096</t>
  </si>
  <si>
    <t xml:space="preserve">28/12/2002</t>
  </si>
  <si>
    <t xml:space="preserve">JARIN MONI</t>
  </si>
  <si>
    <t xml:space="preserve">MJLI 16 ২ টা থেকে  ৪ টা (শনি - সোম - বুধ )</t>
  </si>
  <si>
    <t xml:space="preserve">Course Duration 6/5/2026-6/10/2026</t>
  </si>
  <si>
    <t xml:space="preserve">Course Status : CLOSED</t>
  </si>
  <si>
    <t xml:space="preserve">MD. RUHULLAH SEAM🟣</t>
  </si>
  <si>
    <t xml:space="preserve">01321-576072</t>
  </si>
  <si>
    <t xml:space="preserve"> SAMIR HOSSAIN</t>
  </si>
  <si>
    <t xml:space="preserve">01406-454347</t>
  </si>
  <si>
    <t xml:space="preserve">01736-218135</t>
  </si>
  <si>
    <t xml:space="preserve">23/02/2004</t>
  </si>
  <si>
    <t xml:space="preserve">MD ALI AZGOR🟢</t>
  </si>
  <si>
    <t xml:space="preserve">01848-565827</t>
  </si>
  <si>
    <t xml:space="preserve">01676-124400</t>
  </si>
  <si>
    <t xml:space="preserve">15/02/2000</t>
  </si>
  <si>
    <t xml:space="preserve">UNCLE</t>
  </si>
  <si>
    <t xml:space="preserve">LUCKYI ISLAM🟡</t>
  </si>
  <si>
    <t xml:space="preserve">01792-181319</t>
  </si>
  <si>
    <t xml:space="preserve">01864-940169</t>
  </si>
  <si>
    <t xml:space="preserve">14/04/1995</t>
  </si>
  <si>
    <t xml:space="preserve">MEHEDI HASSAN🔵</t>
  </si>
  <si>
    <t xml:space="preserve">01630-220771</t>
  </si>
  <si>
    <t xml:space="preserve">01712-551994</t>
  </si>
  <si>
    <t xml:space="preserve">2/4/0200</t>
  </si>
  <si>
    <t xml:space="preserve">TANVEER HOSSAIN ANTOR🔵</t>
  </si>
  <si>
    <t xml:space="preserve">01720-594343</t>
  </si>
  <si>
    <t xml:space="preserve">01733-151484</t>
  </si>
  <si>
    <t xml:space="preserve">AHAD HOSSAIN KIRON🔵</t>
  </si>
  <si>
    <t xml:space="preserve">01342-375777</t>
  </si>
  <si>
    <t xml:space="preserve">20/9/2006</t>
  </si>
  <si>
    <t xml:space="preserve">MD RAKIB VUIYA🟡</t>
  </si>
  <si>
    <t xml:space="preserve">01744-217276</t>
  </si>
  <si>
    <t xml:space="preserve">18/11/2003</t>
  </si>
  <si>
    <t xml:space="preserve">PIPASHA ROY🟡</t>
  </si>
  <si>
    <t xml:space="preserve">01910-101993</t>
  </si>
  <si>
    <t xml:space="preserve">01816-712289</t>
  </si>
  <si>
    <t xml:space="preserve"> MOHAMMAD NAIM🟣</t>
  </si>
  <si>
    <t xml:space="preserve">01986-421576</t>
  </si>
  <si>
    <t xml:space="preserve">01646-814758</t>
  </si>
  <si>
    <t xml:space="preserve"> AMINUL ISLAM JISAN🟢</t>
  </si>
  <si>
    <t xml:space="preserve">MOHAMMAD AKASH🟢</t>
  </si>
  <si>
    <t xml:space="preserve">01778-265174</t>
  </si>
  <si>
    <t xml:space="preserve">01728-350070</t>
  </si>
  <si>
    <t xml:space="preserve">MD SELIM UDDIN🟢</t>
  </si>
  <si>
    <t xml:space="preserve">01968-141906</t>
  </si>
  <si>
    <t xml:space="preserve">       </t>
  </si>
  <si>
    <t xml:space="preserve">MASSIVE 17 সকাল ১০টা থেকে ১২টা  (শনি - সোম - বুধ )</t>
  </si>
  <si>
    <r>
      <rPr>
        <b val="true"/>
        <sz val="14"/>
        <color rgb="FFFFFFFF"/>
        <rFont val="Arial"/>
        <family val="0"/>
        <charset val="1"/>
      </rPr>
      <t xml:space="preserve">Course Duration:06JUN</t>
    </r>
    <r>
      <rPr>
        <b val="true"/>
        <sz val="14"/>
        <color rgb="FFFFFFFF"/>
        <rFont val="Noto Sans CJK SC"/>
        <family val="2"/>
      </rPr>
      <t xml:space="preserve">～</t>
    </r>
    <r>
      <rPr>
        <b val="true"/>
        <sz val="14"/>
        <color rgb="FFFFFFFF"/>
        <rFont val="Arial"/>
        <family val="0"/>
        <charset val="1"/>
      </rPr>
      <t xml:space="preserve">6 NOV</t>
    </r>
  </si>
  <si>
    <t xml:space="preserve">SAIFUL ISLAM🟣</t>
  </si>
  <si>
    <t xml:space="preserve">01864-771046</t>
  </si>
  <si>
    <t xml:space="preserve">01703-797085</t>
  </si>
  <si>
    <t xml:space="preserve">MD HRIDOY HOSSAIN🟣</t>
  </si>
  <si>
    <t xml:space="preserve">01615-779109</t>
  </si>
  <si>
    <t xml:space="preserve">RUBAYA SULTANA RUMANA</t>
  </si>
  <si>
    <t xml:space="preserve">SAMI BIN SAIF ARAF🟢</t>
  </si>
  <si>
    <t xml:space="preserve">01572-918862</t>
  </si>
  <si>
    <t xml:space="preserve">01511-242721</t>
  </si>
  <si>
    <t xml:space="preserve">MIM KHAN🟡</t>
  </si>
  <si>
    <t xml:space="preserve">01775-848484</t>
  </si>
  <si>
    <t xml:space="preserve">14/7/1999</t>
  </si>
  <si>
    <t xml:space="preserve">ANAS ABDULLAH🟣</t>
  </si>
  <si>
    <t xml:space="preserve">01613-380569</t>
  </si>
  <si>
    <t xml:space="preserve">PARVEZ AHAMMAD TOPU🟢</t>
  </si>
  <si>
    <t xml:space="preserve">01945-757129</t>
  </si>
  <si>
    <t xml:space="preserve">01711-303651</t>
  </si>
  <si>
    <t xml:space="preserve">24/2/2005</t>
  </si>
  <si>
    <t xml:space="preserve">ARSHAD KHAN🔵</t>
  </si>
  <si>
    <t xml:space="preserve">01627-319047</t>
  </si>
  <si>
    <t xml:space="preserve">01741-224222</t>
  </si>
  <si>
    <t xml:space="preserve">RASEL HALDER🟢</t>
  </si>
  <si>
    <t xml:space="preserve">01865-054738</t>
  </si>
  <si>
    <t xml:space="preserve">MD SANJIL AHMED JIHAD🔵</t>
  </si>
  <si>
    <t xml:space="preserve">01943-006678</t>
  </si>
  <si>
    <t xml:space="preserve">01911-626870</t>
  </si>
  <si>
    <t xml:space="preserve">14/7/2004</t>
  </si>
  <si>
    <t xml:space="preserve">ARIFA AKTER🟣</t>
  </si>
  <si>
    <t xml:space="preserve">01772-921810</t>
  </si>
  <si>
    <t xml:space="preserve">15/4/2005</t>
  </si>
  <si>
    <t xml:space="preserve">MD ABU SAYEED SAYMON🟢</t>
  </si>
  <si>
    <t xml:space="preserve">01836-134119</t>
  </si>
  <si>
    <t xml:space="preserve">NAZMUL HASAN MAZUMDER🟢</t>
  </si>
  <si>
    <t xml:space="preserve">01743-028108</t>
  </si>
  <si>
    <t xml:space="preserve">MOHAMMAD ARAFAT🟢</t>
  </si>
  <si>
    <t xml:space="preserve">01775-537173</t>
  </si>
  <si>
    <t xml:space="preserve">30/7/2004</t>
  </si>
  <si>
    <t xml:space="preserve">MD POLASH MIA🟢</t>
  </si>
  <si>
    <t xml:space="preserve">01795-819170</t>
  </si>
  <si>
    <t xml:space="preserve">01301-960655</t>
  </si>
  <si>
    <t xml:space="preserve">MASSIVE 18 দুপুর ২টা থেকে ৪টা (রবি, মঙ্গল, বৃহস্পতি)</t>
  </si>
  <si>
    <t xml:space="preserve">Course Duration 23/6/2026- 23/11/2026</t>
  </si>
  <si>
    <t xml:space="preserve">SANJIDA SUMAIYA🟣</t>
  </si>
  <si>
    <t xml:space="preserve">01709-920330</t>
  </si>
  <si>
    <t xml:space="preserve">01711-171807</t>
  </si>
  <si>
    <t xml:space="preserve">ZIDAN HOSSAIN🟢</t>
  </si>
  <si>
    <t xml:space="preserve">01924-244874</t>
  </si>
  <si>
    <t xml:space="preserve">01945-299416</t>
  </si>
  <si>
    <t xml:space="preserve">ABU BOKKOR ALVI</t>
  </si>
  <si>
    <t xml:space="preserve">01754-977376</t>
  </si>
  <si>
    <t xml:space="preserve">01724-279502</t>
  </si>
  <si>
    <t xml:space="preserve">23/5/2005</t>
  </si>
  <si>
    <t xml:space="preserve">MD YEASIN ARAFAT🔵</t>
  </si>
  <si>
    <t xml:space="preserve">01538-329494</t>
  </si>
  <si>
    <t xml:space="preserve">01829-439907</t>
  </si>
  <si>
    <t xml:space="preserve">POLOK SARKAR🟣</t>
  </si>
  <si>
    <t xml:space="preserve">01318-617205</t>
  </si>
  <si>
    <t xml:space="preserve">01716-795301</t>
  </si>
  <si>
    <t xml:space="preserve">MD MIRAJ HOSSAIN MOJUMDER🟢</t>
  </si>
  <si>
    <t xml:space="preserve">01600-238747</t>
  </si>
  <si>
    <t xml:space="preserve">01811-959583</t>
  </si>
  <si>
    <t xml:space="preserve">15/3/2007</t>
  </si>
  <si>
    <t xml:space="preserve">B-</t>
  </si>
  <si>
    <t xml:space="preserve">MAISHA RAHMAN🟢</t>
  </si>
  <si>
    <t xml:space="preserve">01738-186058</t>
  </si>
  <si>
    <t xml:space="preserve">01684-54657</t>
  </si>
  <si>
    <t xml:space="preserve">AB-</t>
  </si>
  <si>
    <t xml:space="preserve">BOISHAKHI AKTER🟢</t>
  </si>
  <si>
    <t xml:space="preserve">14/2/2008</t>
  </si>
  <si>
    <t xml:space="preserve">WAFA  ALOM🟢</t>
  </si>
  <si>
    <t xml:space="preserve">01620-053040</t>
  </si>
  <si>
    <t xml:space="preserve">01923-417380</t>
  </si>
  <si>
    <t xml:space="preserve">AYSHA AKHTER TASNIM🟣</t>
  </si>
  <si>
    <t xml:space="preserve">01833-542804</t>
  </si>
  <si>
    <t xml:space="preserve">01679-101004</t>
  </si>
  <si>
    <t xml:space="preserve">21/11/2004</t>
  </si>
  <si>
    <t xml:space="preserve">AL MAHMUD AKTAZ🟢</t>
  </si>
  <si>
    <t xml:space="preserve">01883-666019</t>
  </si>
  <si>
    <t xml:space="preserve">01779-091020</t>
  </si>
  <si>
    <t xml:space="preserve">23/10/2005</t>
  </si>
  <si>
    <t xml:space="preserve">SAZZAD BEPARI 🟢</t>
  </si>
  <si>
    <t xml:space="preserve">01611-491812</t>
  </si>
  <si>
    <t xml:space="preserve">01712-294147</t>
  </si>
  <si>
    <t xml:space="preserve">23/1/2005</t>
  </si>
  <si>
    <t xml:space="preserve">AYSHA AKHTER RIA🟢</t>
  </si>
  <si>
    <t xml:space="preserve">01888-678560</t>
  </si>
  <si>
    <t xml:space="preserve">01609-726987</t>
  </si>
  <si>
    <t xml:space="preserve">MORSHALIN MAHI🔵</t>
  </si>
  <si>
    <t xml:space="preserve">01917-804949</t>
  </si>
  <si>
    <t xml:space="preserve">01714-221347</t>
  </si>
  <si>
    <t xml:space="preserve">FAHAD HOSSAIN🟢</t>
  </si>
  <si>
    <t xml:space="preserve">01811-451717</t>
  </si>
  <si>
    <t xml:space="preserve">MD. ALVI HAQUE🔵</t>
  </si>
  <si>
    <t xml:space="preserve">01706-508632</t>
  </si>
  <si>
    <t xml:space="preserve">01779-295561</t>
  </si>
  <si>
    <t xml:space="preserve">28/7/2006</t>
  </si>
  <si>
    <t xml:space="preserve">MOHAMMAD ALOM🔵</t>
  </si>
  <si>
    <t xml:space="preserve">01770-065019</t>
  </si>
  <si>
    <t xml:space="preserve">01738-205157</t>
  </si>
  <si>
    <t xml:space="preserve">MASSIVE 19  সকাল ১১ঃ৪৫টা থেকে ১ঃ৪৫টা শনি - সোম - বুধ </t>
  </si>
  <si>
    <t xml:space="preserve">Course Duration : 15/7/2026-15/12/2026</t>
  </si>
  <si>
    <t xml:space="preserve">MD NUR ALOM🟢</t>
  </si>
  <si>
    <t xml:space="preserve">01747-667790</t>
  </si>
  <si>
    <t xml:space="preserve">01727-343019</t>
  </si>
  <si>
    <t xml:space="preserve">30/12/2004</t>
  </si>
  <si>
    <t xml:space="preserve">IBRAHIM🟢</t>
  </si>
  <si>
    <t xml:space="preserve">01965-107613</t>
  </si>
  <si>
    <t xml:space="preserve">EVA🟢</t>
  </si>
  <si>
    <t xml:space="preserve">01742-860731</t>
  </si>
  <si>
    <t xml:space="preserve">31/8/2000</t>
  </si>
  <si>
    <t xml:space="preserve">NAIMA ISLAM NISHAT🟣</t>
  </si>
  <si>
    <t xml:space="preserve">01957-938358</t>
  </si>
  <si>
    <t xml:space="preserve">01913-561334</t>
  </si>
  <si>
    <t xml:space="preserve">13/4/2000</t>
  </si>
  <si>
    <t xml:space="preserve">MD IMTIAZ AHMED🟢</t>
  </si>
  <si>
    <t xml:space="preserve">01939-344079</t>
  </si>
  <si>
    <t xml:space="preserve">01733-756053</t>
  </si>
  <si>
    <t xml:space="preserve">SIAM DOKANDER🟡</t>
  </si>
  <si>
    <t xml:space="preserve">01349-308413</t>
  </si>
  <si>
    <t xml:space="preserve">01830-394300</t>
  </si>
  <si>
    <t xml:space="preserve">22/9/2009</t>
  </si>
  <si>
    <t xml:space="preserve">MOHAMMAD ALIF🟢</t>
  </si>
  <si>
    <t xml:space="preserve">01979-136202</t>
  </si>
  <si>
    <t xml:space="preserve">01722-136202</t>
  </si>
  <si>
    <t xml:space="preserve">25/11/2004</t>
  </si>
  <si>
    <t xml:space="preserve">AL-RAFI ISHMUM MRIDHA🟢</t>
  </si>
  <si>
    <t xml:space="preserve">01756-716750</t>
  </si>
  <si>
    <t xml:space="preserve">01731-512389</t>
  </si>
  <si>
    <t xml:space="preserve">17/9/2005</t>
  </si>
  <si>
    <t xml:space="preserve">MEHEDI AREFIN🟢</t>
  </si>
  <si>
    <t xml:space="preserve">01648-361125</t>
  </si>
  <si>
    <t xml:space="preserve">18/03/2000</t>
  </si>
  <si>
    <t xml:space="preserve">SAHA PORAN MIA🟢</t>
  </si>
  <si>
    <t xml:space="preserve">01777-534005</t>
  </si>
  <si>
    <t xml:space="preserve">01833-6315543</t>
  </si>
  <si>
    <t xml:space="preserve">ATAUR RAHMAN PATOARY🟢</t>
  </si>
  <si>
    <t xml:space="preserve">01837-356535</t>
  </si>
  <si>
    <t xml:space="preserve">01685-205009</t>
  </si>
  <si>
    <t xml:space="preserve">30/11/2005</t>
  </si>
  <si>
    <t xml:space="preserve">MJLI-20 সকাল  ৯ঃ৩০টা থেকে ১১ঃ৩০টা (রবি, মঙ্গল, বৃহস্পতি)</t>
  </si>
  <si>
    <r>
      <rPr>
        <b val="true"/>
        <sz val="14"/>
        <color rgb="FFFFFFFF"/>
        <rFont val="Arial"/>
        <family val="0"/>
        <charset val="1"/>
      </rPr>
      <t xml:space="preserve">Course Duration: 25 AUG</t>
    </r>
    <r>
      <rPr>
        <b val="true"/>
        <sz val="14"/>
        <color rgb="FFFFFFFF"/>
        <rFont val="Noto Sans CJK SC"/>
        <family val="2"/>
      </rPr>
      <t xml:space="preserve">～</t>
    </r>
    <r>
      <rPr>
        <b val="true"/>
        <sz val="14"/>
        <color rgb="FFFFFFFF"/>
        <rFont val="Arial"/>
        <family val="0"/>
        <charset val="1"/>
      </rPr>
      <t xml:space="preserve">25 FEB 2027</t>
    </r>
  </si>
  <si>
    <t xml:space="preserve">MD. KAWSAR HOSSAIN</t>
  </si>
  <si>
    <t xml:space="preserve">01796-507991</t>
  </si>
  <si>
    <t xml:space="preserve">01329-283916</t>
  </si>
  <si>
    <t xml:space="preserve">SIAM RAHMAN</t>
  </si>
  <si>
    <t xml:space="preserve">01991-302932</t>
  </si>
  <si>
    <t xml:space="preserve">01410-302966</t>
  </si>
  <si>
    <t xml:space="preserve">ALIDE HOSSAIN SIFAT</t>
  </si>
  <si>
    <t xml:space="preserve">01816-768614</t>
  </si>
  <si>
    <t xml:space="preserve">01681-082163</t>
  </si>
  <si>
    <t xml:space="preserve">28/3/2003</t>
  </si>
  <si>
    <t xml:space="preserve">MST MAHIYA</t>
  </si>
  <si>
    <t xml:space="preserve">01936-315226</t>
  </si>
  <si>
    <t xml:space="preserve">01934-394311</t>
  </si>
  <si>
    <t xml:space="preserve">25/09/2008</t>
  </si>
  <si>
    <t xml:space="preserve">TAIF ISLAM SIAM</t>
  </si>
  <si>
    <t xml:space="preserve">01314-911278</t>
  </si>
  <si>
    <t xml:space="preserve">01922-541951</t>
  </si>
  <si>
    <t xml:space="preserve">RIFAT </t>
  </si>
  <si>
    <t xml:space="preserve">01872-728930</t>
  </si>
  <si>
    <t xml:space="preserve">01712-919767</t>
  </si>
  <si>
    <t xml:space="preserve">MD SAYEM AHMED</t>
  </si>
  <si>
    <t xml:space="preserve">01814-676360</t>
  </si>
  <si>
    <t xml:space="preserve">01920-763924</t>
  </si>
  <si>
    <t xml:space="preserve">18/09/2003</t>
  </si>
  <si>
    <t xml:space="preserve">INSAN HOSSEN EMON</t>
  </si>
  <si>
    <t xml:space="preserve">01708-572625</t>
  </si>
  <si>
    <t xml:space="preserve">01735-999534</t>
  </si>
  <si>
    <t xml:space="preserve">28/02/2001</t>
  </si>
  <si>
    <t xml:space="preserve">MAHMUDA RAHAMAN RIDITA</t>
  </si>
  <si>
    <t xml:space="preserve">01401-562238</t>
  </si>
  <si>
    <t xml:space="preserve">01978-303590</t>
  </si>
  <si>
    <t xml:space="preserve">MD SOHAN</t>
  </si>
  <si>
    <t xml:space="preserve">01307-281490</t>
  </si>
  <si>
    <t xml:space="preserve">01944-207301</t>
  </si>
  <si>
    <t xml:space="preserve">MD JUBAEAR</t>
  </si>
  <si>
    <t xml:space="preserve">01898-905839</t>
  </si>
  <si>
    <t xml:space="preserve">01670-446693</t>
  </si>
  <si>
    <t xml:space="preserve">MD JUNAED </t>
  </si>
  <si>
    <t xml:space="preserve">01898-905869</t>
  </si>
  <si>
    <t xml:space="preserve">MD ZIHAD</t>
  </si>
  <si>
    <t xml:space="preserve">01324-457074</t>
  </si>
  <si>
    <t xml:space="preserve">01334-697826</t>
  </si>
  <si>
    <t xml:space="preserve">15/01/2005</t>
  </si>
  <si>
    <t xml:space="preserve">ABU TALEB</t>
  </si>
  <si>
    <t xml:space="preserve">01703-740897</t>
  </si>
  <si>
    <t xml:space="preserve">01725-550401</t>
  </si>
  <si>
    <t xml:space="preserve">MUJTABA RAFID</t>
  </si>
  <si>
    <t xml:space="preserve">013235-42502</t>
  </si>
  <si>
    <t xml:space="preserve">01630-580088</t>
  </si>
  <si>
    <t xml:space="preserve">20/10/2008</t>
  </si>
  <si>
    <t xml:space="preserve">MD RAKIBUL HASSAN RABBI</t>
  </si>
  <si>
    <t xml:space="preserve">01626-706933</t>
  </si>
  <si>
    <t xml:space="preserve">01745-513106</t>
  </si>
  <si>
    <t xml:space="preserve">MD RASEL DHALI</t>
  </si>
  <si>
    <t xml:space="preserve">01689-57765</t>
  </si>
  <si>
    <t xml:space="preserve">ASIKUR RAHMAN JOY</t>
  </si>
  <si>
    <t xml:space="preserve">01609-885118</t>
  </si>
  <si>
    <t xml:space="preserve">01720-937666</t>
  </si>
  <si>
    <t xml:space="preserve">MD SOHAG</t>
  </si>
  <si>
    <t xml:space="preserve">01893-7119133</t>
  </si>
  <si>
    <t xml:space="preserve">01315-918380</t>
  </si>
  <si>
    <t xml:space="preserve">FATEMA KHATUN MIM</t>
  </si>
  <si>
    <t xml:space="preserve">01935-824657</t>
  </si>
  <si>
    <t xml:space="preserve">01968-943969</t>
  </si>
  <si>
    <t xml:space="preserve">SHWIKOT SARKER RUDRA</t>
  </si>
  <si>
    <t xml:space="preserve">01911-246108</t>
  </si>
  <si>
    <t xml:space="preserve">01923-639455</t>
  </si>
  <si>
    <t xml:space="preserve">BAKUL AKTER</t>
  </si>
  <si>
    <t xml:space="preserve">01984-416434</t>
  </si>
  <si>
    <t xml:space="preserve">01787-164349</t>
  </si>
  <si>
    <t xml:space="preserve">17/08/1996</t>
  </si>
  <si>
    <t xml:space="preserve">SISTER</t>
  </si>
  <si>
    <t xml:space="preserve">SWIBAL SARKAR DRUVO </t>
  </si>
  <si>
    <t xml:space="preserve">01855-549927</t>
  </si>
  <si>
    <t xml:space="preserve">LUBNA AKTER</t>
  </si>
  <si>
    <t xml:space="preserve">01791-619452</t>
  </si>
  <si>
    <t xml:space="preserve">01745-289527</t>
  </si>
  <si>
    <t xml:space="preserve">17/06/2006</t>
  </si>
  <si>
    <t xml:space="preserve">SUMAIYA </t>
  </si>
  <si>
    <t xml:space="preserve">01855-053949</t>
  </si>
  <si>
    <t xml:space="preserve">01890-311845</t>
  </si>
  <si>
    <t xml:space="preserve">MAHMUD HASAN</t>
  </si>
  <si>
    <t xml:space="preserve">01880-453220</t>
  </si>
  <si>
    <t xml:space="preserve">01953-396912</t>
  </si>
  <si>
    <t xml:space="preserve">MASSIVE N4 26C বিকাল ৪ঃ০০টা থেকে ৬ঃ০০টা পর্যন্ত</t>
  </si>
  <si>
    <r>
      <rPr>
        <b val="true"/>
        <sz val="14"/>
        <color rgb="FFFFFFFF"/>
        <rFont val="Arial"/>
        <family val="0"/>
        <charset val="1"/>
      </rPr>
      <t xml:space="preserve">Course Duration:09 AUG</t>
    </r>
    <r>
      <rPr>
        <b val="true"/>
        <sz val="14"/>
        <color rgb="FFFFFFFF"/>
        <rFont val="Noto Sans CJK SC"/>
        <family val="2"/>
      </rPr>
      <t xml:space="preserve">～</t>
    </r>
    <r>
      <rPr>
        <b val="true"/>
        <sz val="14"/>
        <color rgb="FFFFFFFF"/>
        <rFont val="Arial"/>
        <family val="0"/>
        <charset val="1"/>
      </rPr>
      <t xml:space="preserve">09 DEC</t>
    </r>
  </si>
  <si>
    <t xml:space="preserve">Blood group</t>
  </si>
  <si>
    <t xml:space="preserve">BIDHAN CHANDRA MONDAL</t>
  </si>
  <si>
    <t xml:space="preserve">JANNATUL FERDOUS AHONA </t>
  </si>
  <si>
    <t xml:space="preserve">01676-474879</t>
  </si>
  <si>
    <t xml:space="preserve">01952-163112</t>
  </si>
  <si>
    <t xml:space="preserve">24/03/1998</t>
  </si>
  <si>
    <t xml:space="preserve">MD SHEFAT RAHMAN</t>
  </si>
  <si>
    <t xml:space="preserve">8,000.00 (OK)</t>
  </si>
  <si>
    <t xml:space="preserve">01842-116158</t>
  </si>
  <si>
    <t xml:space="preserve">01782-399127</t>
  </si>
  <si>
    <t xml:space="preserve">20/04/2004</t>
  </si>
  <si>
    <t xml:space="preserve">MORSHALIN SHEIKH</t>
  </si>
  <si>
    <t xml:space="preserve">AMIT GOSH</t>
  </si>
  <si>
    <t xml:space="preserve">JANNATUL ISLAM HRIDIKA</t>
  </si>
  <si>
    <t xml:space="preserve">01400-439969</t>
  </si>
  <si>
    <t xml:space="preserve">01972-567210</t>
  </si>
  <si>
    <t xml:space="preserve">ROKIBUL ISLAM</t>
  </si>
  <si>
    <t xml:space="preserve">-</t>
  </si>
  <si>
    <t xml:space="preserve">MEHERAB HOSSAIN</t>
  </si>
  <si>
    <t xml:space="preserve">01703-182577</t>
  </si>
  <si>
    <t xml:space="preserve">WAZ KURONI HAQUE NIPU</t>
  </si>
  <si>
    <t xml:space="preserve">01631-034961</t>
  </si>
  <si>
    <t xml:space="preserve">01943-036436</t>
  </si>
  <si>
    <t xml:space="preserve">19/07/2006</t>
  </si>
  <si>
    <t xml:space="preserve">MUSHFIQUR RAHMAN</t>
  </si>
  <si>
    <t xml:space="preserve">01575-821007</t>
  </si>
  <si>
    <t xml:space="preserve">01912-581833</t>
  </si>
  <si>
    <t xml:space="preserve">13/04/2004</t>
  </si>
  <si>
    <t xml:space="preserve">ROMA MONDAL</t>
  </si>
  <si>
    <t xml:space="preserve">MJLI-21 সন্ধ্যা ০৬ঃ৩০-৮ঃ৩০টা (শনি - সোম - বুধ )</t>
  </si>
  <si>
    <r>
      <rPr>
        <b val="true"/>
        <sz val="14"/>
        <color rgb="FFFFFFFF"/>
        <rFont val="Arial"/>
        <family val="0"/>
        <charset val="1"/>
      </rPr>
      <t xml:space="preserve">Course Duration:08 AUG</t>
    </r>
    <r>
      <rPr>
        <b val="true"/>
        <sz val="14"/>
        <color rgb="FFFFFFFF"/>
        <rFont val="Noto Sans CJK SC"/>
        <family val="2"/>
      </rPr>
      <t xml:space="preserve">～</t>
    </r>
    <r>
      <rPr>
        <b val="true"/>
        <sz val="14"/>
        <color rgb="FFFFFFFF"/>
        <rFont val="Arial"/>
        <family val="0"/>
        <charset val="1"/>
      </rPr>
      <t xml:space="preserve">8 DEC</t>
    </r>
  </si>
  <si>
    <t xml:space="preserve">ABDUR RAHMAN</t>
  </si>
  <si>
    <t xml:space="preserve">01914-845139</t>
  </si>
  <si>
    <t xml:space="preserve">MD TAMBIRUL ISLAM SOJIB</t>
  </si>
  <si>
    <t xml:space="preserve">01405-327745</t>
  </si>
  <si>
    <t xml:space="preserve">01868-962800</t>
  </si>
  <si>
    <t xml:space="preserve">15/08/2004</t>
  </si>
  <si>
    <t xml:space="preserve">ABDULLAH AL IMRAN</t>
  </si>
  <si>
    <t xml:space="preserve">01795-312522</t>
  </si>
  <si>
    <t xml:space="preserve">01833-425837</t>
  </si>
  <si>
    <t xml:space="preserve">14/11/2002</t>
  </si>
  <si>
    <t xml:space="preserve">SHUVO SARKER</t>
  </si>
  <si>
    <t xml:space="preserve">01304-962555</t>
  </si>
  <si>
    <t xml:space="preserve">01631-184398</t>
  </si>
  <si>
    <t xml:space="preserve">RAYHAN AHMED</t>
  </si>
  <si>
    <t xml:space="preserve">01721-725048</t>
  </si>
  <si>
    <t xml:space="preserve">FATHERS</t>
  </si>
  <si>
    <t xml:space="preserve">ASFAK UDDIN SAMIN</t>
  </si>
  <si>
    <t xml:space="preserve">01349-826871</t>
  </si>
  <si>
    <t xml:space="preserve">01711-957235</t>
  </si>
  <si>
    <t xml:space="preserve">07/072007</t>
  </si>
  <si>
    <t xml:space="preserve">ASFAK UDDIN</t>
  </si>
  <si>
    <t xml:space="preserve">01537-359161</t>
  </si>
  <si>
    <t xml:space="preserve">MJLI-22 সকাল ১১ঃ৪৫টা থেকে ১ঃ৪৫টা পর্যন্ত (রবি, মঙ্গল, বৃহস্পতি)</t>
  </si>
  <si>
    <t xml:space="preserve">MAHIR IQBAL PULOK</t>
  </si>
  <si>
    <t xml:space="preserve">01646-937534</t>
  </si>
  <si>
    <t xml:space="preserve">01766-149849</t>
  </si>
  <si>
    <t xml:space="preserve">RAIHAN</t>
  </si>
  <si>
    <t xml:space="preserve">01733-904826</t>
  </si>
  <si>
    <t xml:space="preserve">01308-844133</t>
  </si>
  <si>
    <t xml:space="preserve">14/05/2008</t>
  </si>
  <si>
    <t xml:space="preserve">MD APPLE</t>
  </si>
  <si>
    <t xml:space="preserve">01608-860771</t>
  </si>
  <si>
    <t xml:space="preserve">01568-532475</t>
  </si>
  <si>
    <t xml:space="preserve">22/09/2007</t>
  </si>
  <si>
    <t xml:space="preserve">MD SOBAHAN</t>
  </si>
  <si>
    <t xml:space="preserve">01326-826691</t>
  </si>
  <si>
    <t xml:space="preserve">01772-784432</t>
  </si>
  <si>
    <t xml:space="preserve">15/102008</t>
  </si>
  <si>
    <t xml:space="preserve">StudentID</t>
  </si>
  <si>
    <t xml:space="preserve">AttName</t>
  </si>
  <si>
    <t xml:space="preserve">Key</t>
  </si>
  <si>
    <t xml:space="preserve">MJLI-12||25223</t>
  </si>
  <si>
    <t xml:space="preserve">MJLI-12||25224</t>
  </si>
  <si>
    <t xml:space="preserve">MJLI-12||25226</t>
  </si>
  <si>
    <t xml:space="preserve">MJLI-12||25228</t>
  </si>
  <si>
    <t xml:space="preserve">MJLI-12||25229</t>
  </si>
  <si>
    <t xml:space="preserve">MJLI-12||25181</t>
  </si>
  <si>
    <t xml:space="preserve">MJLI-12||NAME:SUMAIYA ISLAM</t>
  </si>
  <si>
    <t xml:space="preserve">Lamia Akter</t>
  </si>
  <si>
    <t xml:space="preserve">MJLI-12||NAME:LAMIA AKTER</t>
  </si>
  <si>
    <t xml:space="preserve">Nushrat Jahan</t>
  </si>
  <si>
    <t xml:space="preserve">MJLI-12||25173</t>
  </si>
  <si>
    <t xml:space="preserve">Sumit</t>
  </si>
  <si>
    <t xml:space="preserve">MJLI-12||NAME:SUMIT</t>
  </si>
  <si>
    <t xml:space="preserve">MJLI-12||NAME:RAYHAN MIAH</t>
  </si>
  <si>
    <t xml:space="preserve">MJLI-12||25235</t>
  </si>
  <si>
    <t xml:space="preserve">MJLI-12||25236</t>
  </si>
  <si>
    <t xml:space="preserve">MJLI-13||25232</t>
  </si>
  <si>
    <t xml:space="preserve">MJLI-13||25233</t>
  </si>
  <si>
    <t xml:space="preserve">MJLI-13||25234</t>
  </si>
  <si>
    <t xml:space="preserve">MJLI-13||25235</t>
  </si>
  <si>
    <t xml:space="preserve">BIDHAN  CHANDRA MONDAL</t>
  </si>
  <si>
    <t xml:space="preserve">MJLI-13||25236</t>
  </si>
  <si>
    <t xml:space="preserve">MJLI-13||25237</t>
  </si>
  <si>
    <t xml:space="preserve">MJLI-13||25238</t>
  </si>
  <si>
    <t xml:space="preserve">MJLI-13||25198</t>
  </si>
  <si>
    <t xml:space="preserve">MJLI-13||25222</t>
  </si>
  <si>
    <t xml:space="preserve">MJLI-13||25227</t>
  </si>
  <si>
    <t xml:space="preserve">AKIB</t>
  </si>
  <si>
    <t xml:space="preserve">MJLI-13||NAME:AKIB</t>
  </si>
  <si>
    <t xml:space="preserve">Hasan Sheikh</t>
  </si>
  <si>
    <t xml:space="preserve">MJLI-13||NAME:HASAN SHEIKH</t>
  </si>
  <si>
    <t xml:space="preserve">MASSIVE 25K||25197</t>
  </si>
  <si>
    <t xml:space="preserve">MASSIVE 25K||25199</t>
  </si>
  <si>
    <t xml:space="preserve">MASSIVE 25K||25200</t>
  </si>
  <si>
    <t xml:space="preserve">MASSIVE 25K||25205</t>
  </si>
  <si>
    <t xml:space="preserve">MASSIVE 25K||25206</t>
  </si>
  <si>
    <t xml:space="preserve">MASSIVE 25K||25207</t>
  </si>
  <si>
    <t xml:space="preserve">MASSIVE 25K||25208</t>
  </si>
  <si>
    <t xml:space="preserve">MASSIVE 25K||25209</t>
  </si>
  <si>
    <t xml:space="preserve">MASSIVE 25K||25210</t>
  </si>
  <si>
    <t xml:space="preserve">MASSIVE 25K||25211</t>
  </si>
  <si>
    <t xml:space="preserve">MASSIVE 25K||25212</t>
  </si>
  <si>
    <t xml:space="preserve">MASSIVE 25K||25213</t>
  </si>
  <si>
    <t xml:space="preserve">MASSIVE 25K||25214</t>
  </si>
  <si>
    <t xml:space="preserve">MASSIVE 25K||25215</t>
  </si>
  <si>
    <t xml:space="preserve">MASSIVE 25K||25216</t>
  </si>
  <si>
    <t xml:space="preserve">MASSIVE 25K||25217</t>
  </si>
  <si>
    <t xml:space="preserve">Abdulla Sarkar Ovi</t>
  </si>
  <si>
    <t xml:space="preserve">MASSIVE 25K||NAME:ABDULLA SARKAR OVI</t>
  </si>
  <si>
    <t xml:space="preserve">MASSIVE 25K||25230</t>
  </si>
  <si>
    <t xml:space="preserve">MASSIVE 25K||25231</t>
  </si>
  <si>
    <t xml:space="preserve">Shawon</t>
  </si>
  <si>
    <t xml:space="preserve">MASSIVE 25K||NAME:SHAWON</t>
  </si>
  <si>
    <t xml:space="preserve">Shova</t>
  </si>
  <si>
    <t xml:space="preserve">MASSIVE 25K||NAME:SHOVA</t>
  </si>
  <si>
    <t xml:space="preserve">RAPTY</t>
  </si>
  <si>
    <t xml:space="preserve">MASSIVE 25K||NAME:RAPTY</t>
  </si>
  <si>
    <t xml:space="preserve">N4-26A||25110</t>
  </si>
  <si>
    <t xml:space="preserve">TOUFIK AHMED</t>
  </si>
  <si>
    <t xml:space="preserve">N4-26A||25147</t>
  </si>
  <si>
    <t xml:space="preserve">TAWHID</t>
  </si>
  <si>
    <t xml:space="preserve">N4-26A||26249</t>
  </si>
  <si>
    <t xml:space="preserve">TANBIR ARAFAT</t>
  </si>
  <si>
    <t xml:space="preserve">N4-26A||26260</t>
  </si>
  <si>
    <t xml:space="preserve">MUSHFIQ MAHMUD</t>
  </si>
  <si>
    <t xml:space="preserve">N4-26A||25162</t>
  </si>
  <si>
    <t xml:space="preserve">N4-26A||25191</t>
  </si>
  <si>
    <t xml:space="preserve">N4-26A||25193</t>
  </si>
  <si>
    <t xml:space="preserve">TAMIM</t>
  </si>
  <si>
    <t xml:space="preserve">N4-26A||199</t>
  </si>
  <si>
    <t xml:space="preserve">ANAMUL SABBIR</t>
  </si>
  <si>
    <t xml:space="preserve">N4-26A||25159</t>
  </si>
  <si>
    <t xml:space="preserve">N4-26A||25156</t>
  </si>
  <si>
    <t xml:space="preserve">SALMA</t>
  </si>
  <si>
    <t xml:space="preserve">N4-26A||25214</t>
  </si>
  <si>
    <t xml:space="preserve">ZUBAYER AHMED</t>
  </si>
  <si>
    <t xml:space="preserve">N4-26A||NAME:ZUBAYER AHMED</t>
  </si>
  <si>
    <t xml:space="preserve">ALL JUBAIR</t>
  </si>
  <si>
    <t xml:space="preserve">N4-26A||25153</t>
  </si>
  <si>
    <t xml:space="preserve">IKHTIAR AHMED</t>
  </si>
  <si>
    <t xml:space="preserve">N4-26A||223</t>
  </si>
  <si>
    <t xml:space="preserve">N4-26B||25201</t>
  </si>
  <si>
    <t xml:space="preserve">N4-26B||25214</t>
  </si>
  <si>
    <t xml:space="preserve">N4-26B||25206</t>
  </si>
  <si>
    <t xml:space="preserve">N4-26B||25197</t>
  </si>
  <si>
    <t xml:space="preserve">N4-26B||25173</t>
  </si>
  <si>
    <t xml:space="preserve">FAYSAL</t>
  </si>
  <si>
    <t xml:space="preserve">N4-26B||25212</t>
  </si>
  <si>
    <t xml:space="preserve">SOHANUR RAHMAN </t>
  </si>
  <si>
    <t xml:space="preserve">N4-26B||25114</t>
  </si>
  <si>
    <t xml:space="preserve">N4-26B||25230</t>
  </si>
  <si>
    <t xml:space="preserve">N4-26B||26296</t>
  </si>
  <si>
    <t xml:space="preserve">IBRAHIM HASAN</t>
  </si>
  <si>
    <t xml:space="preserve">N4-26B||26206</t>
  </si>
  <si>
    <t xml:space="preserve">N4-26B||26290</t>
  </si>
  <si>
    <t xml:space="preserve">N4-26B||25110</t>
  </si>
  <si>
    <t xml:space="preserve">N4-26B||25127</t>
  </si>
  <si>
    <t xml:space="preserve">MIRAJ </t>
  </si>
  <si>
    <t xml:space="preserve">N4-26B||NAME:MIRAJ</t>
  </si>
  <si>
    <t xml:space="preserve">N4-26B||173</t>
  </si>
  <si>
    <t xml:space="preserve">N4-26B||NAME:MD EMON</t>
  </si>
  <si>
    <t xml:space="preserve">EASIN</t>
  </si>
  <si>
    <t xml:space="preserve">N4-26B||NAME:EASIN</t>
  </si>
  <si>
    <t xml:space="preserve">SAIKAT</t>
  </si>
  <si>
    <t xml:space="preserve">N4-26B||NAME:SAIKAT</t>
  </si>
  <si>
    <t xml:space="preserve">MJLI 14||26245</t>
  </si>
  <si>
    <t xml:space="preserve">MJLI 14||26242</t>
  </si>
  <si>
    <t xml:space="preserve">MJLI 14||26241</t>
  </si>
  <si>
    <t xml:space="preserve">MJLI 14||26243</t>
  </si>
  <si>
    <t xml:space="preserve">MJLI 14||26247</t>
  </si>
  <si>
    <t xml:space="preserve">MJLI 14||26248</t>
  </si>
  <si>
    <t xml:space="preserve">MJLI 14||26246</t>
  </si>
  <si>
    <t xml:space="preserve">MJLI 14||26250</t>
  </si>
  <si>
    <t xml:space="preserve">MJLI 14||25237</t>
  </si>
  <si>
    <t xml:space="preserve">SAJIB SARKAR</t>
  </si>
  <si>
    <t xml:space="preserve">MJLI 14||25225</t>
  </si>
  <si>
    <t xml:space="preserve">MJLI 14||26302</t>
  </si>
  <si>
    <t xml:space="preserve">NIPU</t>
  </si>
  <si>
    <t xml:space="preserve">MJLI 14||25227</t>
  </si>
  <si>
    <t xml:space="preserve">TAMANNA</t>
  </si>
  <si>
    <t xml:space="preserve">MJLI 14||25222</t>
  </si>
  <si>
    <t xml:space="preserve">MJLI 14||26279</t>
  </si>
  <si>
    <t xml:space="preserve">NOMAN</t>
  </si>
  <si>
    <t xml:space="preserve">MJLI 14||25234</t>
  </si>
  <si>
    <t xml:space="preserve">MJLI 14||26311</t>
  </si>
  <si>
    <t xml:space="preserve">MD KOWSER SEIKH</t>
  </si>
  <si>
    <t xml:space="preserve">MJLI 15||26254</t>
  </si>
  <si>
    <t xml:space="preserve">MOHAMMAD YEASIN</t>
  </si>
  <si>
    <t xml:space="preserve">MJLI 15||26255</t>
  </si>
  <si>
    <t xml:space="preserve">SIFAT MOLLAH</t>
  </si>
  <si>
    <t xml:space="preserve">MJLI 15||26256</t>
  </si>
  <si>
    <t xml:space="preserve">MJLI 15||26266</t>
  </si>
  <si>
    <t xml:space="preserve">MD RAYHAN MIA</t>
  </si>
  <si>
    <t xml:space="preserve">MJLI 15||26257</t>
  </si>
  <si>
    <t xml:space="preserve">ARIF HOSSAIN MUNNA</t>
  </si>
  <si>
    <t xml:space="preserve">MJLI 15||26258</t>
  </si>
  <si>
    <t xml:space="preserve">SANJIDA KHAN SHUCHI</t>
  </si>
  <si>
    <t xml:space="preserve">MJLI 15||26273</t>
  </si>
  <si>
    <t xml:space="preserve">AKASH KHAN</t>
  </si>
  <si>
    <t xml:space="preserve">MJLI 15||26259</t>
  </si>
  <si>
    <t xml:space="preserve">URMI AKTER</t>
  </si>
  <si>
    <t xml:space="preserve">MJLI 15||26261</t>
  </si>
  <si>
    <t xml:space="preserve">TUSHAR BHUIYAN</t>
  </si>
  <si>
    <t xml:space="preserve">MJLI 15||26262</t>
  </si>
  <si>
    <t xml:space="preserve">LIPON BAWALI</t>
  </si>
  <si>
    <t xml:space="preserve">MJLI 15||26267</t>
  </si>
  <si>
    <t xml:space="preserve">ATIKUR RAHMAN SINHAT</t>
  </si>
  <si>
    <t xml:space="preserve">MJLI 15||26263</t>
  </si>
  <si>
    <t xml:space="preserve">IBRAHIM SARKAR</t>
  </si>
  <si>
    <t xml:space="preserve">MJLI 15||26268</t>
  </si>
  <si>
    <t xml:space="preserve">LAMIYA  UMMA SADIA</t>
  </si>
  <si>
    <t xml:space="preserve">MJLI 15||26265</t>
  </si>
  <si>
    <t xml:space="preserve">AMIMUL EHASAN</t>
  </si>
  <si>
    <t xml:space="preserve">MJLI 15||26276</t>
  </si>
  <si>
    <t xml:space="preserve">MEHEDI</t>
  </si>
  <si>
    <t xml:space="preserve">MJLI 15||26274</t>
  </si>
  <si>
    <t xml:space="preserve">SUMON HOSSAIN</t>
  </si>
  <si>
    <t xml:space="preserve">MJLI 15||26239</t>
  </si>
  <si>
    <t xml:space="preserve">MORSHALIN MAHI</t>
  </si>
  <si>
    <t xml:space="preserve">MJLI 15||26264</t>
  </si>
  <si>
    <t xml:space="preserve">FAHAD</t>
  </si>
  <si>
    <t xml:space="preserve">MJLI 15||26269</t>
  </si>
  <si>
    <t xml:space="preserve">GOPAL</t>
  </si>
  <si>
    <t xml:space="preserve">MJLI 15||26272</t>
  </si>
  <si>
    <t xml:space="preserve">SAIMUR RAHMAN SIAM</t>
  </si>
  <si>
    <t xml:space="preserve">MJLI 15||26251</t>
  </si>
  <si>
    <t xml:space="preserve">WAHIDUL ISLAM SAFAYET</t>
  </si>
  <si>
    <t xml:space="preserve">MJLI 15||26322</t>
  </si>
  <si>
    <t xml:space="preserve">TANBIR BHUIYAN</t>
  </si>
  <si>
    <t xml:space="preserve">MJLI 15||NAME:TANBIR BHUIYAN</t>
  </si>
  <si>
    <t xml:space="preserve">MD. RUHULLAH SEAM</t>
  </si>
  <si>
    <t xml:space="preserve">MJLI 16||26275</t>
  </si>
  <si>
    <t xml:space="preserve">SAMIR HOSSAIN</t>
  </si>
  <si>
    <t xml:space="preserve">MJLI 16||26309</t>
  </si>
  <si>
    <t xml:space="preserve">MD ALI AZGOR</t>
  </si>
  <si>
    <t xml:space="preserve">MJLI 16||26270</t>
  </si>
  <si>
    <t xml:space="preserve">LUCKY ISLAM</t>
  </si>
  <si>
    <t xml:space="preserve">MJLI 16||26271</t>
  </si>
  <si>
    <t xml:space="preserve">MD. FAHIM RAHMAN</t>
  </si>
  <si>
    <t xml:space="preserve">MJLI 16||26278</t>
  </si>
  <si>
    <t xml:space="preserve">MJLI 16||25189</t>
  </si>
  <si>
    <t xml:space="preserve">MD. SAYEB REDWAN</t>
  </si>
  <si>
    <t xml:space="preserve">MJLI 16||26280</t>
  </si>
  <si>
    <t xml:space="preserve">MJLI 16||26281</t>
  </si>
  <si>
    <t xml:space="preserve">TANVEER HOSSAIN ANTOR</t>
  </si>
  <si>
    <t xml:space="preserve">MJLI 16||26282</t>
  </si>
  <si>
    <t xml:space="preserve">AHAD HOSSAIN KIRON</t>
  </si>
  <si>
    <t xml:space="preserve">MJLI 16||26283</t>
  </si>
  <si>
    <t xml:space="preserve">MD. ALVI HAQUE</t>
  </si>
  <si>
    <t xml:space="preserve">MJLI 16||26324</t>
  </si>
  <si>
    <t xml:space="preserve">MD RAKIB VUIYA</t>
  </si>
  <si>
    <t xml:space="preserve">MJLI 16||26285</t>
  </si>
  <si>
    <t xml:space="preserve">FIFASA</t>
  </si>
  <si>
    <t xml:space="preserve">MJLI 16||26292</t>
  </si>
  <si>
    <t xml:space="preserve">MOHAMMAD NAIM</t>
  </si>
  <si>
    <t xml:space="preserve">MJLI 16||26289</t>
  </si>
  <si>
    <t xml:space="preserve">SALIM UDDIN</t>
  </si>
  <si>
    <t xml:space="preserve">MJLI 16||26314</t>
  </si>
  <si>
    <t xml:space="preserve">MOHAMMAD AKASH</t>
  </si>
  <si>
    <t xml:space="preserve">MJLI 16||26284</t>
  </si>
  <si>
    <t xml:space="preserve">MJLI 16||25126</t>
  </si>
  <si>
    <t xml:space="preserve">MIM KHAN</t>
  </si>
  <si>
    <t xml:space="preserve">MJLI 17||26298</t>
  </si>
  <si>
    <t xml:space="preserve">SAIFUL ISLAM</t>
  </si>
  <si>
    <t xml:space="preserve">MJLI 17||26288</t>
  </si>
  <si>
    <t xml:space="preserve">HRIDOY HOSSAIN</t>
  </si>
  <si>
    <t xml:space="preserve">MJLI 17||26287</t>
  </si>
  <si>
    <t xml:space="preserve">SAMI BIN SAIF ARAF</t>
  </si>
  <si>
    <t xml:space="preserve">MJLI 17||26295</t>
  </si>
  <si>
    <t xml:space="preserve">ANAS ABDULLAH</t>
  </si>
  <si>
    <t xml:space="preserve">MJLI 17||26253</t>
  </si>
  <si>
    <t xml:space="preserve">PARVEZ AHAMMAD TOPU</t>
  </si>
  <si>
    <t xml:space="preserve">MJLI 17||26312</t>
  </si>
  <si>
    <t xml:space="preserve">ASSHAD KHAN</t>
  </si>
  <si>
    <t xml:space="preserve">MJLI 17||26300</t>
  </si>
  <si>
    <t xml:space="preserve">RASEL HALDER</t>
  </si>
  <si>
    <t xml:space="preserve">MJLI 17||26299</t>
  </si>
  <si>
    <t xml:space="preserve">ARIFA AKTER</t>
  </si>
  <si>
    <t xml:space="preserve">MJLI 17||26304</t>
  </si>
  <si>
    <t xml:space="preserve">MAHAMUDUL HASAN JIHAD</t>
  </si>
  <si>
    <t xml:space="preserve">MJLI 17||26305</t>
  </si>
  <si>
    <t xml:space="preserve">MD ABU SAYEED SAYMON</t>
  </si>
  <si>
    <t xml:space="preserve">MJLI 17||26313</t>
  </si>
  <si>
    <t xml:space="preserve">MOHAMMAD ARAFAT</t>
  </si>
  <si>
    <t xml:space="preserve">MJLI 17||26307</t>
  </si>
  <si>
    <t xml:space="preserve">NAZMUL HASAN MAZUMDER</t>
  </si>
  <si>
    <t xml:space="preserve">MJLI 17||26308</t>
  </si>
  <si>
    <t xml:space="preserve">MD POLASH MIA</t>
  </si>
  <si>
    <t xml:space="preserve">MJLI 17||26330</t>
  </si>
  <si>
    <t xml:space="preserve"> AMINUL ISLAM JISAN</t>
  </si>
  <si>
    <t xml:space="preserve">MJLI 17||25126</t>
  </si>
  <si>
    <t xml:space="preserve">SANJIDA SUMAIYA</t>
  </si>
  <si>
    <t xml:space="preserve">MJLI 18||26303</t>
  </si>
  <si>
    <t xml:space="preserve">ZIDAN HOSSAIN</t>
  </si>
  <si>
    <t xml:space="preserve">MJLI 18||26317</t>
  </si>
  <si>
    <t xml:space="preserve">MJLI 18||26285</t>
  </si>
  <si>
    <t xml:space="preserve">ATAUR RAHMAN PATOARY</t>
  </si>
  <si>
    <t xml:space="preserve">MJLI 18||26315</t>
  </si>
  <si>
    <t xml:space="preserve">MD YEASIN ARAFAT</t>
  </si>
  <si>
    <t xml:space="preserve">MJLI 18||NAME:MD YEASIN ARAFAT</t>
  </si>
  <si>
    <t xml:space="preserve">POLOK SARKAR</t>
  </si>
  <si>
    <t xml:space="preserve">MJLI 18||26320</t>
  </si>
  <si>
    <t xml:space="preserve">MOHAMMAD ALOM</t>
  </si>
  <si>
    <t xml:space="preserve">MJLI 18||26316</t>
  </si>
  <si>
    <t xml:space="preserve">MD MIRAJ HOSSAIN MOJUMDER</t>
  </si>
  <si>
    <t xml:space="preserve">MJLI 18||26323</t>
  </si>
  <si>
    <t xml:space="preserve">MAISHA RAHMAN</t>
  </si>
  <si>
    <t xml:space="preserve">MJLI 18||26318</t>
  </si>
  <si>
    <t xml:space="preserve">WAFA ALOM </t>
  </si>
  <si>
    <t xml:space="preserve">MJLI 18||36326</t>
  </si>
  <si>
    <t xml:space="preserve">AYESHA</t>
  </si>
  <si>
    <t xml:space="preserve">MJLI 18||36327</t>
  </si>
  <si>
    <t xml:space="preserve">BOISHAKHI AKTER</t>
  </si>
  <si>
    <t xml:space="preserve">MJLI 18||25231</t>
  </si>
  <si>
    <t xml:space="preserve">AL MAHMUD AKTAZ</t>
  </si>
  <si>
    <t xml:space="preserve">MJLI 18||36328</t>
  </si>
  <si>
    <t xml:space="preserve">SAZZAD BEPARI</t>
  </si>
  <si>
    <t xml:space="preserve">MJLI 18||NAME:SAZZAD BEPARI</t>
  </si>
  <si>
    <t xml:space="preserve">AYSHA AKHTER RIA</t>
  </si>
  <si>
    <t xml:space="preserve">MJLI 18||26335</t>
  </si>
  <si>
    <t xml:space="preserve">FAHAD HOSSAIN</t>
  </si>
  <si>
    <t xml:space="preserve">MJLI 18||26324</t>
  </si>
  <si>
    <t xml:space="preserve">MJLI 18||26264</t>
  </si>
  <si>
    <t xml:space="preserve"> MOHAMMAD NAIM</t>
  </si>
  <si>
    <t xml:space="preserve">MJLI 18||26292</t>
  </si>
  <si>
    <t xml:space="preserve">PIPASHA ROY</t>
  </si>
  <si>
    <t xml:space="preserve">MJLI 18||NAME:PIPASHA ROY</t>
  </si>
  <si>
    <t xml:space="preserve">MJLI 18||26314</t>
  </si>
  <si>
    <t xml:space="preserve">MJLI 18||26270</t>
  </si>
  <si>
    <t xml:space="preserve">MJLI 18||NAME:MOHAMMAD AKASH</t>
  </si>
  <si>
    <t xml:space="preserve">MD NUR ALOM</t>
  </si>
  <si>
    <t xml:space="preserve">MJLI 19||26325</t>
  </si>
  <si>
    <t xml:space="preserve">IBRAHIM</t>
  </si>
  <si>
    <t xml:space="preserve">MJLI 19||26343</t>
  </si>
  <si>
    <t xml:space="preserve">EVA</t>
  </si>
  <si>
    <t xml:space="preserve">MJLI 19||26342</t>
  </si>
  <si>
    <t xml:space="preserve">NAIMA ISLAM NISHAT</t>
  </si>
  <si>
    <t xml:space="preserve">MJLI 19||26329</t>
  </si>
  <si>
    <t xml:space="preserve">SAIF IQBAL PULOK</t>
  </si>
  <si>
    <t xml:space="preserve">MJLI 19||26334</t>
  </si>
  <si>
    <t xml:space="preserve">MD IMTIAZ AHMED</t>
  </si>
  <si>
    <t xml:space="preserve">MJLI 19||26331</t>
  </si>
  <si>
    <t xml:space="preserve">SIAM DOKANDER</t>
  </si>
  <si>
    <t xml:space="preserve">MJLI 19||26332</t>
  </si>
  <si>
    <t xml:space="preserve">MOHAMMAD ALIF</t>
  </si>
  <si>
    <t xml:space="preserve">MJLI 19||26333</t>
  </si>
  <si>
    <t xml:space="preserve">AL-RAFI ISHMUM MRIDHA</t>
  </si>
  <si>
    <t xml:space="preserve">MJLI 19||26337</t>
  </si>
  <si>
    <t xml:space="preserve">SANTO MOLLICK</t>
  </si>
  <si>
    <t xml:space="preserve">MJLI 19||NAME:SANTO MOLLICK</t>
  </si>
  <si>
    <t xml:space="preserve">MJLI 19||26338</t>
  </si>
  <si>
    <t xml:space="preserve">SHAH PORAN</t>
  </si>
  <si>
    <t xml:space="preserve">MJLI 19||26339</t>
  </si>
  <si>
    <t xml:space="preserve">MJLI 19||26315</t>
  </si>
  <si>
    <t xml:space="preserve">MJLI 20||26340</t>
  </si>
  <si>
    <t xml:space="preserve">MJLI 20||26341</t>
  </si>
  <si>
    <t xml:space="preserve">MJLI 20||26344</t>
  </si>
  <si>
    <t xml:space="preserve">MJLI 20||26349</t>
  </si>
  <si>
    <t xml:space="preserve">MJLI 20||26334</t>
  </si>
  <si>
    <t xml:space="preserve">MJLI 20||25210</t>
  </si>
  <si>
    <t xml:space="preserve">MJLI 20||26347</t>
  </si>
  <si>
    <t xml:space="preserve">MJLI 20||26352</t>
  </si>
  <si>
    <t xml:space="preserve">MJLI 20||26353</t>
  </si>
  <si>
    <t xml:space="preserve">MJLI 20||26358</t>
  </si>
  <si>
    <t xml:space="preserve">MJLI 20||26357</t>
  </si>
  <si>
    <t xml:space="preserve">MJLI 20||NAME:MD SOHAN</t>
  </si>
  <si>
    <t xml:space="preserve">MJLI 20||26364</t>
  </si>
  <si>
    <t xml:space="preserve">MJLI 20||26365</t>
  </si>
  <si>
    <t xml:space="preserve">MJLI 20||NAME:MD ZIHAD</t>
  </si>
  <si>
    <t xml:space="preserve">MJLI 20||25238</t>
  </si>
  <si>
    <t xml:space="preserve">MJLI 20||26359</t>
  </si>
  <si>
    <t xml:space="preserve">MJLI 20||26361</t>
  </si>
  <si>
    <t xml:space="preserve">MJLI 20||NAME:MD RAKIBUL HASSAN RABBI</t>
  </si>
  <si>
    <t xml:space="preserve">MJLI 20||26367</t>
  </si>
  <si>
    <t xml:space="preserve">MJLI 20||26362</t>
  </si>
  <si>
    <t xml:space="preserve">MJLI 20||26363</t>
  </si>
  <si>
    <t xml:space="preserve">MJLI 20||NAME:FATEMA KHATUN MIM</t>
  </si>
  <si>
    <t xml:space="preserve">MJLI 20||26368</t>
  </si>
  <si>
    <t xml:space="preserve">MJLI 20||26366</t>
  </si>
  <si>
    <t xml:space="preserve">MJLI 20||26369</t>
  </si>
  <si>
    <t xml:space="preserve">MJLI 20||NAME:LUBNA AKTER</t>
  </si>
  <si>
    <t xml:space="preserve">MJLI 20||26371</t>
  </si>
  <si>
    <t xml:space="preserve">MJLI 20||NAME:MAHMUD HASAN</t>
  </si>
  <si>
    <t xml:space="preserve">N4 26C||26236</t>
  </si>
  <si>
    <t xml:space="preserve">N4 26C||25161</t>
  </si>
  <si>
    <t xml:space="preserve">N4 26C||26235</t>
  </si>
  <si>
    <t xml:space="preserve">N4 26C||26244</t>
  </si>
  <si>
    <t xml:space="preserve">N4 26C||26336</t>
  </si>
  <si>
    <t xml:space="preserve">N4 26C||25228</t>
  </si>
  <si>
    <t xml:space="preserve">N4 26C||25229</t>
  </si>
  <si>
    <t xml:space="preserve">N4 26C||26246</t>
  </si>
  <si>
    <t xml:space="preserve">N4 26C||26242</t>
  </si>
  <si>
    <t xml:space="preserve">N4 26C||26241</t>
  </si>
  <si>
    <t xml:space="preserve">N4 26C||26248</t>
  </si>
  <si>
    <t xml:space="preserve">N4 26C||25227</t>
  </si>
  <si>
    <t xml:space="preserve">N4 26C||26302</t>
  </si>
  <si>
    <t xml:space="preserve">ABDUL MANNAN</t>
  </si>
  <si>
    <t xml:space="preserve">N4 26C||NAME:ABDUL MANNAN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</si>
</sst>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mmmm\ yyyy"/>
    <numFmt numFmtId="167" formatCode="mm/dd/yyyy"/>
    <numFmt numFmtId="168" formatCode="m/d/yyyy"/>
    <numFmt numFmtId="169" formatCode="d\-mmm\-yyyy"/>
    <numFmt numFmtId="170" formatCode="#,##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5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34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13"/>
      <color theme="1"/>
      <name val="Arial"/>
      <family val="0"/>
      <charset val="1"/>
    </font>
    <font>
      <sz val="15"/>
      <color theme="1"/>
      <name val="Arial"/>
      <family val="0"/>
      <charset val="1"/>
    </font>
    <font>
      <sz val="12"/>
      <color rgb="FFFF0000"/>
      <name val="Arial"/>
      <family val="0"/>
      <charset val="1"/>
    </font>
    <font>
      <sz val="12"/>
      <color rgb="FF000000"/>
      <name val="Arial"/>
      <family val="0"/>
      <charset val="1"/>
    </font>
    <font>
      <sz val="14"/>
      <color theme="1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4"/>
      <color rgb="FFFFFFFF"/>
      <name val="Noto Sans CJK SC"/>
      <family val="2"/>
    </font>
    <font>
      <sz val="8"/>
      <color theme="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4472C4"/>
        <bgColor rgb="FF674EA7"/>
      </patternFill>
    </fill>
    <fill>
      <patternFill patternType="solid">
        <fgColor rgb="FF674EA7"/>
        <bgColor rgb="FF4472C4"/>
      </patternFill>
    </fill>
    <fill>
      <patternFill patternType="solid">
        <fgColor rgb="FF8E7CC3"/>
        <bgColor rgb="FF8989EB"/>
      </patternFill>
    </fill>
    <fill>
      <patternFill patternType="solid">
        <fgColor rgb="FFF46524"/>
        <bgColor rgb="FFB45F06"/>
      </patternFill>
    </fill>
    <fill>
      <patternFill patternType="solid">
        <fgColor rgb="FFFFFFFF"/>
        <bgColor rgb="FFE7F9EF"/>
      </patternFill>
    </fill>
    <fill>
      <patternFill patternType="solid">
        <fgColor rgb="FFFFE6DD"/>
        <bgColor rgb="FFE8E7FC"/>
      </patternFill>
    </fill>
    <fill>
      <patternFill patternType="solid">
        <fgColor rgb="FFE7F9EF"/>
        <bgColor rgb="FFE8E7FC"/>
      </patternFill>
    </fill>
    <fill>
      <patternFill patternType="solid">
        <fgColor rgb="FFFF0000"/>
        <bgColor rgb="FF980000"/>
      </patternFill>
    </fill>
    <fill>
      <patternFill patternType="solid">
        <fgColor rgb="FF980000"/>
        <bgColor rgb="FF800000"/>
      </patternFill>
    </fill>
    <fill>
      <patternFill patternType="solid">
        <fgColor rgb="FF0C343D"/>
        <bgColor rgb="FF003300"/>
      </patternFill>
    </fill>
    <fill>
      <patternFill patternType="solid">
        <fgColor rgb="FFB45F06"/>
        <bgColor rgb="FFF46524"/>
      </patternFill>
    </fill>
    <fill>
      <patternFill patternType="solid">
        <fgColor rgb="FFE8E7FC"/>
        <bgColor rgb="FFE7F9EF"/>
      </patternFill>
    </fill>
    <fill>
      <patternFill patternType="solid">
        <fgColor rgb="FF8989EB"/>
        <bgColor rgb="FF8E7CC3"/>
      </patternFill>
    </fill>
    <fill>
      <patternFill patternType="solid">
        <fgColor rgb="FFC4C3F7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6524"/>
          <bgColor rgb="FF000000"/>
        </patternFill>
      </fill>
    </dxf>
    <dxf>
      <fill>
        <patternFill patternType="solid">
          <fgColor rgb="FFFFE6D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7F9EF"/>
          <bgColor rgb="FF000000"/>
        </patternFill>
      </fill>
    </dxf>
    <dxf>
      <fill>
        <patternFill patternType="solid">
          <fgColor rgb="FFE8E7FC"/>
          <bgColor rgb="FF000000"/>
        </patternFill>
      </fill>
    </dxf>
    <dxf>
      <fill>
        <patternFill>
          <bgColor rgb="FF674EA7"/>
        </patternFill>
      </fill>
    </dxf>
    <dxf>
      <fill>
        <patternFill patternType="solid">
          <fgColor rgb="FF8989EB"/>
          <bgColor rgb="FF000000"/>
        </patternFill>
      </fill>
    </dxf>
    <dxf>
      <fill>
        <patternFill patternType="solid">
          <fgColor rgb="FFC4C3F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74EA7"/>
          <bgColor rgb="FF000000"/>
        </patternFill>
      </fill>
    </dxf>
    <dxf>
      <fill>
        <patternFill patternType="solid">
          <fgColor rgb="FF8E7CC3"/>
          <bgColor rgb="FF000000"/>
        </patternFill>
      </fill>
    </dxf>
    <dxf>
      <fill>
        <patternFill patternType="solid">
          <fgColor rgb="FFF9C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CCCCC"/>
      <rgbColor rgb="FF8E7CC3"/>
      <rgbColor rgb="FF8989EB"/>
      <rgbColor rgb="FF993366"/>
      <rgbColor rgb="FFFFE6DD"/>
      <rgbColor rgb="FFE7F9EF"/>
      <rgbColor rgb="FF660066"/>
      <rgbColor rgb="FFFF8080"/>
      <rgbColor rgb="FF0066CC"/>
      <rgbColor rgb="FFC4C3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7FC"/>
      <rgbColor rgb="FFCCFFCC"/>
      <rgbColor rgb="FFFFFF99"/>
      <rgbColor rgb="FF99CCFF"/>
      <rgbColor rgb="FFFF99CC"/>
      <rgbColor rgb="FFCC99FF"/>
      <rgbColor rgb="FFF9CB9C"/>
      <rgbColor rgb="FF4472C4"/>
      <rgbColor rgb="FF33CCCC"/>
      <rgbColor rgb="FF99CC00"/>
      <rgbColor rgb="FFFFCC00"/>
      <rgbColor rgb="FFFF9900"/>
      <rgbColor rgb="FFF46524"/>
      <rgbColor rgb="FF674EA7"/>
      <rgbColor rgb="FF969696"/>
      <rgbColor rgb="FF0C343D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3:I28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2.xml><?xml version="1.0" encoding="utf-8"?>
<table xmlns="http://schemas.openxmlformats.org/spreadsheetml/2006/main" id="2" name="Table_10" displayName="Table_10" ref="A3:I16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3.xml><?xml version="1.0" encoding="utf-8"?>
<table xmlns="http://schemas.openxmlformats.org/spreadsheetml/2006/main" id="3" name="Table_11" displayName="Table_11" ref="A3:J20" headerRowCount="1" totalsRowCount="1" totalsRowShown="1">
  <tableColumns count="10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blood group"/>
    <tableColumn id="8" name="Guarantor"/>
    <tableColumn id="9" name="Relationship With&#10;Guarantor"/>
    <tableColumn id="10" name="COMMENT"/>
  </tableColumns>
</table>
</file>

<file path=xl/tables/table4.xml><?xml version="1.0" encoding="utf-8"?>
<table xmlns="http://schemas.openxmlformats.org/spreadsheetml/2006/main" id="4" name="Table_12" displayName="Table_12" ref="A3:K25" headerRowCount="1" totalsRowCount="1" totalsRowShown="1">
  <tableColumns count="11">
    <tableColumn id="1" name="SL NO."/>
    <tableColumn id="2" name="BOOK"/>
    <tableColumn id="3" name="Student Name"/>
    <tableColumn id="4" name="Student&#10;ID"/>
    <tableColumn id="5" name="Mobile Number"/>
    <tableColumn id="6" name="Guardian Number"/>
    <tableColumn id="7" name="BLOOD GROUP"/>
    <tableColumn id="8" name="Date Of Birth"/>
    <tableColumn id="9" name="Guarantor"/>
    <tableColumn id="10" name="Relationship with&#10;Guarantor"/>
    <tableColumn id="11" name="Comment"/>
  </tableColumns>
</table>
</file>

<file path=xl/tables/table5.xml><?xml version="1.0" encoding="utf-8"?>
<table xmlns="http://schemas.openxmlformats.org/spreadsheetml/2006/main" id="5" name="Table_13" displayName="Table_13" ref="A3:K24" headerRowCount="1" totalsRowCount="1" totalsRowShown="1">
  <tableColumns count="11">
    <tableColumn id="1" name="SL NO."/>
    <tableColumn id="2" name="BOOK"/>
    <tableColumn id="3" name="Student Name"/>
    <tableColumn id="4" name="Student&#10;ID"/>
    <tableColumn id="5" name="Mobile Number"/>
    <tableColumn id="6" name="Guardian Number"/>
    <tableColumn id="7" name="Blood Group"/>
    <tableColumn id="8" name="Date Of Birth"/>
    <tableColumn id="9" name="Guarantor"/>
    <tableColumn id="10" name="Relationship with&#10;Guarantor"/>
    <tableColumn id="11" name="Comment"/>
  </tableColumns>
</table>
</file>

<file path=xl/tables/table6.xml><?xml version="1.0" encoding="utf-8"?>
<table xmlns="http://schemas.openxmlformats.org/spreadsheetml/2006/main" id="6" name="Table_14" displayName="Table_14" ref="A3:K26" headerRowCount="1" totalsRowCount="1" totalsRowShown="1">
  <tableColumns count="11">
    <tableColumn id="1" name="SL NO."/>
    <tableColumn id="2" name="Student Name"/>
    <tableColumn id="3" name="BOOK"/>
    <tableColumn id="4" name="Student&#10;ID"/>
    <tableColumn id="5" name="Mobile Number"/>
    <tableColumn id="6" name="Guardian Number"/>
    <tableColumn id="7" name="Date Of Birth"/>
    <tableColumn id="8" name="Guarantor"/>
    <tableColumn id="9" name="BLOOD GROUP"/>
    <tableColumn id="10" name="Relationship With&#10;Guarantor"/>
    <tableColumn id="11" name="COMMENT"/>
  </tableColumns>
</table>
</file>

<file path=xl/tables/table7.xml><?xml version="1.0" encoding="utf-8"?>
<table xmlns="http://schemas.openxmlformats.org/spreadsheetml/2006/main" id="7" name="Table_15" displayName="Table_15" ref="A3:J28" headerRowCount="1" totalsRowCount="1" totalsRowShown="1">
  <tableColumns count="10">
    <tableColumn id="1" name="SL NO."/>
    <tableColumn id="2" name="Student&#10;ID"/>
    <tableColumn id="3" name="Student Name"/>
    <tableColumn id="4" name="Mobile Number"/>
    <tableColumn id="5" name="Guardian Number"/>
    <tableColumn id="6" name="Date Of Birth"/>
    <tableColumn id="7" name="BLOOD GROUP"/>
    <tableColumn id="8" name="Guarantor"/>
    <tableColumn id="9" name="Relationship With&#10;Guarantor"/>
    <tableColumn id="10" name="COMMENT"/>
  </tableColumns>
</table>
</file>

<file path=xl/tables/table8.xml><?xml version="1.0" encoding="utf-8"?>
<table xmlns="http://schemas.openxmlformats.org/spreadsheetml/2006/main" id="8" name="Table_16" displayName="Table_16" ref="A3:I25" headerRowCount="1" totalsRowCount="1" totalsRowShown="1">
  <tableColumns count="9">
    <tableColumn id="1" name="SL NO."/>
    <tableColumn id="2" name="Student ID"/>
    <tableColumn id="3" name="Student&#10;NAME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ables/table9.xml><?xml version="1.0" encoding="utf-8"?>
<table xmlns="http://schemas.openxmlformats.org/spreadsheetml/2006/main" id="9" name="Table_17" displayName="Table_17" ref="C40:L49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10.xml><?xml version="1.0" encoding="utf-8"?>
<table xmlns="http://schemas.openxmlformats.org/spreadsheetml/2006/main" id="10" name="Table_18" displayName="Table_18" ref="A3:I28" headerRowCount="1" totalsRowCount="1" totalsRowShown="1">
  <tableColumns count="9">
    <tableColumn id="1" name="SL NO."/>
    <tableColumn id="2" name="STUDENT ID"/>
    <tableColumn id="3" name="Student&#10;NAME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ables/table11.xml><?xml version="1.0" encoding="utf-8"?>
<table xmlns="http://schemas.openxmlformats.org/spreadsheetml/2006/main" id="11" name="Table_19" displayName="Table_19" ref="E39:E48" headerRowCount="0" totalsRowCount="0" totalsRowShown="0">
  <tableColumns count="1">
    <tableColumn id="1" name="Column1"/>
  </tableColumns>
</table>
</file>

<file path=xl/tables/table12.xml><?xml version="1.0" encoding="utf-8"?>
<table xmlns="http://schemas.openxmlformats.org/spreadsheetml/2006/main" id="12" name="Table_2" displayName="Table_2" ref="A2:F2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13.xml><?xml version="1.0" encoding="utf-8"?>
<table xmlns="http://schemas.openxmlformats.org/spreadsheetml/2006/main" id="13" name="Table_20" displayName="Table_20" ref="A4:I28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14.xml><?xml version="1.0" encoding="utf-8"?>
<table xmlns="http://schemas.openxmlformats.org/spreadsheetml/2006/main" id="14" name="Table_21" displayName="Table_21" ref="H47:Q56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15.xml><?xml version="1.0" encoding="utf-8"?>
<table xmlns="http://schemas.openxmlformats.org/spreadsheetml/2006/main" id="15" name="Table_22" displayName="Table_22" ref="F49:F58" headerRowCount="0" totalsRowCount="0" totalsRowShown="0">
  <tableColumns count="1">
    <tableColumn id="1" name="Column1"/>
  </tableColumns>
</table>
</file>

<file path=xl/tables/table16.xml><?xml version="1.0" encoding="utf-8"?>
<table xmlns="http://schemas.openxmlformats.org/spreadsheetml/2006/main" id="16" name="Table_23" displayName="Table_23" ref="A4:I17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17.xml><?xml version="1.0" encoding="utf-8"?>
<table xmlns="http://schemas.openxmlformats.org/spreadsheetml/2006/main" id="17" name="Table_24" displayName="Table_24" ref="B20:H2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18.xml><?xml version="1.0" encoding="utf-8"?>
<table xmlns="http://schemas.openxmlformats.org/spreadsheetml/2006/main" id="18" name="Table_25" displayName="Table_25" ref="A3:I19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19.xml><?xml version="1.0" encoding="utf-8"?>
<table xmlns="http://schemas.openxmlformats.org/spreadsheetml/2006/main" id="19" name="Table_26" displayName="Table_26" ref="A3:J26" headerRowCount="1" totalsRowCount="1" totalsRowShown="1">
  <tableColumns count="10">
    <tableColumn id="1" name="SL NO."/>
    <tableColumn id="2" name="Student Name"/>
    <tableColumn id="3" name="PAYMENT"/>
    <tableColumn id="4" name="Student&#10;ID"/>
    <tableColumn id="5" name="Mobile Number"/>
    <tableColumn id="6" name="Guardian Number"/>
    <tableColumn id="7" name="Date Of Birth"/>
    <tableColumn id="8" name="Guarantor"/>
    <tableColumn id="9" name="BLOOD GROUP"/>
    <tableColumn id="10" name="COMMENT"/>
  </tableColumns>
</table>
</file>

<file path=xl/tables/table20.xml><?xml version="1.0" encoding="utf-8"?>
<table xmlns="http://schemas.openxmlformats.org/spreadsheetml/2006/main" id="20" name="Table_27" displayName="Table_27" ref="A4:I21" headerRowCount="1" totalsRowCount="0" totalsRowShown="0">
  <tableColumns count="9">
    <tableColumn id="1" name="SL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21.xml><?xml version="1.0" encoding="utf-8"?>
<table xmlns="http://schemas.openxmlformats.org/spreadsheetml/2006/main" id="21" name="Table_28" displayName="Table_28" ref="A4:I26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22.xml><?xml version="1.0" encoding="utf-8"?>
<table xmlns="http://schemas.openxmlformats.org/spreadsheetml/2006/main" id="22" name="Table_29" displayName="Table_29" ref="A4:I26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BLOOD GROUP"/>
    <tableColumn id="9" name="COMMENT"/>
  </tableColumns>
</table>
</file>

<file path=xl/tables/table23.xml><?xml version="1.0" encoding="utf-8"?>
<table xmlns="http://schemas.openxmlformats.org/spreadsheetml/2006/main" id="23" name="Table_3" displayName="Table_3" ref="A3:I31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24.xml><?xml version="1.0" encoding="utf-8"?>
<table xmlns="http://schemas.openxmlformats.org/spreadsheetml/2006/main" id="24" name="Table_30" displayName="Table_30" ref="A3:I32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ables/table25.xml><?xml version="1.0" encoding="utf-8"?>
<table xmlns="http://schemas.openxmlformats.org/spreadsheetml/2006/main" id="25" name="Table_31" displayName="Table_31" ref="A3:J21" headerRowCount="1" totalsRowCount="0" totalsRowShown="0">
  <tableColumns count="10">
    <tableColumn id="1" name="SL NO."/>
    <tableColumn id="2" name="Student Name"/>
    <tableColumn id="3" name="PAYMENT"/>
    <tableColumn id="4" name="Student&#10;ID"/>
    <tableColumn id="5" name="Mobile Number"/>
    <tableColumn id="6" name="Guardian Number"/>
    <tableColumn id="7" name="Date Of Birth"/>
    <tableColumn id="8" name="Blood group"/>
    <tableColumn id="9" name="Relationship With&#10;Guarantor"/>
    <tableColumn id="10" name="COMMENT"/>
  </tableColumns>
</table>
</file>

<file path=xl/tables/table26.xml><?xml version="1.0" encoding="utf-8"?>
<table xmlns="http://schemas.openxmlformats.org/spreadsheetml/2006/main" id="26" name="Table_32" displayName="Table_32" ref="A3:I26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ables/table27.xml><?xml version="1.0" encoding="utf-8"?>
<table xmlns="http://schemas.openxmlformats.org/spreadsheetml/2006/main" id="27" name="Table_33" displayName="Table_33" ref="A3:I25" headerRowCount="1" totalsRowCount="0" totalsRowShown="0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ables/table28.xml><?xml version="1.0" encoding="utf-8"?>
<table xmlns="http://schemas.openxmlformats.org/spreadsheetml/2006/main" id="28" name="Table_4" displayName="Table_4" ref="A3:F77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9.xml><?xml version="1.0" encoding="utf-8"?>
<table xmlns="http://schemas.openxmlformats.org/spreadsheetml/2006/main" id="29" name="Table_5" displayName="Table_5" ref="A3:I39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30.xml><?xml version="1.0" encoding="utf-8"?>
<table xmlns="http://schemas.openxmlformats.org/spreadsheetml/2006/main" id="30" name="Table_6" displayName="Table_6" ref="A3:I10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31.xml><?xml version="1.0" encoding="utf-8"?>
<table xmlns="http://schemas.openxmlformats.org/spreadsheetml/2006/main" id="31" name="Table_7" displayName="Table_7" ref="A3:I13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32.xml><?xml version="1.0" encoding="utf-8"?>
<table xmlns="http://schemas.openxmlformats.org/spreadsheetml/2006/main" id="32" name="Table_8" displayName="Table_8" ref="A3:I30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Guarantor"/>
    <tableColumn id="8" name="Relationship With&#10;Guarantor"/>
    <tableColumn id="9" name="COMMENT"/>
  </tableColumns>
</table>
</file>

<file path=xl/tables/table33.xml><?xml version="1.0" encoding="utf-8"?>
<table xmlns="http://schemas.openxmlformats.org/spreadsheetml/2006/main" id="33" name="Table_9" displayName="Table_9" ref="A3:I20" headerRowCount="1" totalsRowCount="1" totalsRowShown="1">
  <tableColumns count="9">
    <tableColumn id="1" name="SL NO."/>
    <tableColumn id="2" name="Student Name"/>
    <tableColumn id="3" name="Student&#10;ID"/>
    <tableColumn id="4" name="Mobile Number"/>
    <tableColumn id="5" name="Guardian Number"/>
    <tableColumn id="6" name="Date Of Birth"/>
    <tableColumn id="7" name="BLOOD GROUP"/>
    <tableColumn id="8" name="Relationship With&#10;Guarantor"/>
    <tableColumn id="9" name="COMMENT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2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6.xml"/><Relationship Id="rId2" Type="http://schemas.openxmlformats.org/officeDocument/2006/relationships/table" Target="../tables/table1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2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2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5" style="0" width="26"/>
  </cols>
  <sheetData>
    <row r="1" customFormat="false" ht="6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n">
        <f aca="false">'MASSIVE 24A '!C4</f>
        <v>155</v>
      </c>
      <c r="E2" s="2" t="str">
        <f aca="false">'MASSIVE 24A '!B4</f>
        <v>MD YEAHIA KHAN ZIHAD</v>
      </c>
      <c r="F2" s="2" t="str">
        <f aca="false">'MASSIVE 24A '!D4</f>
        <v>01732-821850</v>
      </c>
      <c r="G2" s="2" t="str">
        <f aca="false">'MASSIVE 24A '!E4</f>
        <v>01676-508815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13</v>
      </c>
      <c r="D3" s="2" t="n">
        <f aca="false">'MASSIVE 24A '!C5</f>
        <v>173</v>
      </c>
      <c r="E3" s="2" t="str">
        <f aca="false">'MASSIVE 24A '!B5</f>
        <v>NIYAZ MORSHED</v>
      </c>
      <c r="F3" s="2" t="str">
        <f aca="false">'MASSIVE 24A '!D5</f>
        <v>01854-043818</v>
      </c>
      <c r="G3" s="2" t="str">
        <f aca="false">'MASSIVE 24A '!E5</f>
        <v>01816-335423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n">
        <f aca="false">'MASSIVE 24A '!C6</f>
        <v>165</v>
      </c>
      <c r="E4" s="2" t="str">
        <f aca="false">'MASSIVE 24A '!B6</f>
        <v>MOINUL HASAN</v>
      </c>
      <c r="F4" s="2" t="str">
        <f aca="false">'MASSIVE 24A '!D6</f>
        <v>01867-072375</v>
      </c>
      <c r="G4" s="2" t="str">
        <f aca="false">'MASSIVE 24A '!E6</f>
        <v>01816-335423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13</v>
      </c>
      <c r="D5" s="2" t="n">
        <f aca="false">'MASSIVE 24A '!C7</f>
        <v>167</v>
      </c>
      <c r="E5" s="2" t="str">
        <f aca="false">'MASSIVE 24A '!B7</f>
        <v>MD ASIQUJJMAN TAMIM</v>
      </c>
      <c r="F5" s="2" t="str">
        <f aca="false">'MASSIVE 24A '!D7</f>
        <v>01818-093643</v>
      </c>
      <c r="G5" s="2" t="str">
        <f aca="false">'MASSIVE 24A '!E7</f>
        <v>01711-271062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13</v>
      </c>
      <c r="D6" s="2" t="n">
        <f aca="false">'MASSIVE 24A '!C8</f>
        <v>170</v>
      </c>
      <c r="E6" s="2" t="str">
        <f aca="false">'MASSIVE 24A '!B8</f>
        <v>MEHEDI HASAN</v>
      </c>
      <c r="F6" s="2" t="str">
        <f aca="false">'MASSIVE 24A '!D8</f>
        <v>01628-357219</v>
      </c>
      <c r="G6" s="2" t="str">
        <f aca="false">'MASSIVE 24A '!E8</f>
        <v>01761-865845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13</v>
      </c>
      <c r="D7" s="2" t="n">
        <f aca="false">'MASSIVE 24A '!C9</f>
        <v>168</v>
      </c>
      <c r="E7" s="2" t="str">
        <f aca="false">'MASSIVE 24A '!B9</f>
        <v>MD ABU ZAFAR</v>
      </c>
      <c r="F7" s="2" t="str">
        <f aca="false">'MASSIVE 24A '!D9</f>
        <v>01326-241930</v>
      </c>
      <c r="G7" s="2" t="str">
        <f aca="false">'MASSIVE 24A '!E9</f>
        <v>01816-572569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13</v>
      </c>
      <c r="D8" s="2" t="n">
        <f aca="false">'MASSIVE 24A '!C10</f>
        <v>203</v>
      </c>
      <c r="E8" s="2" t="str">
        <f aca="false">'MASSIVE 24A '!B10</f>
        <v>MD ABUL ALIM</v>
      </c>
      <c r="F8" s="2" t="str">
        <f aca="false">'MASSIVE 24A '!D10</f>
        <v>01850-405109</v>
      </c>
      <c r="G8" s="2" t="str">
        <f aca="false">'MASSIVE 24A '!E10</f>
        <v>01735-956866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 customFormat="false" ht="15" hidden="false" customHeight="false" outlineLevel="0" collapsed="false">
      <c r="A9" s="2" t="n">
        <v>8</v>
      </c>
      <c r="B9" s="2" t="s">
        <v>12</v>
      </c>
      <c r="C9" s="2" t="s">
        <v>13</v>
      </c>
      <c r="D9" s="2" t="n">
        <f aca="false">'MASSIVE 24A '!C11</f>
        <v>232</v>
      </c>
      <c r="E9" s="2" t="str">
        <f aca="false">'MASSIVE 24A '!B11</f>
        <v>MD ZAHADUR RAHMAN</v>
      </c>
      <c r="F9" s="2" t="str">
        <f aca="false">'MASSIVE 24A '!D11</f>
        <v>01937-171494</v>
      </c>
      <c r="G9" s="2" t="n">
        <f aca="false">'MASSIVE 24A '!E11</f>
        <v>0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13</v>
      </c>
      <c r="D10" s="2" t="n">
        <f aca="false">'MASSIVE 24A '!C12</f>
        <v>154</v>
      </c>
      <c r="E10" s="2" t="str">
        <f aca="false">'MASSIVE 24A '!B12</f>
        <v>MD SAHADAT HOSSAIN</v>
      </c>
      <c r="F10" s="2" t="str">
        <f aca="false">'MASSIVE 24A '!D12</f>
        <v>01401-452420</v>
      </c>
      <c r="G10" s="2" t="str">
        <f aca="false">'MASSIVE 24A '!E12</f>
        <v>018622-89200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 customFormat="false" ht="15" hidden="false" customHeight="false" outlineLevel="0" collapsed="false">
      <c r="A11" s="2" t="n">
        <v>10</v>
      </c>
      <c r="B11" s="2" t="s">
        <v>12</v>
      </c>
      <c r="C11" s="2" t="s">
        <v>13</v>
      </c>
      <c r="D11" s="2" t="n">
        <f aca="false">'MASSIVE 24A '!C13</f>
        <v>181</v>
      </c>
      <c r="E11" s="2" t="str">
        <f aca="false">'MASSIVE 24A '!B13</f>
        <v>ARMAN HOSSAIN SHEIKH</v>
      </c>
      <c r="F11" s="2" t="str">
        <f aca="false">'MASSIVE 24A '!D13</f>
        <v>01796-589722</v>
      </c>
      <c r="G11" s="2" t="str">
        <f aca="false">'MASSIVE 24A '!E13</f>
        <v>01315-334552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13</v>
      </c>
      <c r="D12" s="2" t="n">
        <f aca="false">'MASSIVE 24A '!C14</f>
        <v>182</v>
      </c>
      <c r="E12" s="2" t="str">
        <f aca="false">'MASSIVE 24A '!B14</f>
        <v>SIMU HOSSAIN</v>
      </c>
      <c r="F12" s="2" t="str">
        <f aca="false">'MASSIVE 24A '!D14</f>
        <v>01732-805995</v>
      </c>
      <c r="G12" s="2" t="str">
        <f aca="false">'MASSIVE 24A '!E14</f>
        <v>01732-805995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r="13" customFormat="false" ht="15" hidden="false" customHeight="false" outlineLevel="0" collapsed="false">
      <c r="A13" s="2" t="n">
        <v>12</v>
      </c>
      <c r="B13" s="2" t="s">
        <v>12</v>
      </c>
      <c r="C13" s="2" t="s">
        <v>13</v>
      </c>
      <c r="D13" s="2" t="n">
        <f aca="false">'MASSIVE 24A '!C15</f>
        <v>174</v>
      </c>
      <c r="E13" s="2" t="str">
        <f aca="false">'MASSIVE 24A '!B15</f>
        <v>ARIF JAMAN</v>
      </c>
      <c r="F13" s="2" t="str">
        <f aca="false">'MASSIVE 24A '!D15</f>
        <v>01402-815649</v>
      </c>
      <c r="G13" s="2" t="str">
        <f aca="false">'MASSIVE 24A '!E15</f>
        <v>01622-993487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</row>
    <row r="14" customFormat="false" ht="15" hidden="false" customHeight="false" outlineLevel="0" collapsed="false">
      <c r="A14" s="2" t="n">
        <v>13</v>
      </c>
      <c r="B14" s="2" t="s">
        <v>12</v>
      </c>
      <c r="C14" s="2" t="s">
        <v>13</v>
      </c>
      <c r="D14" s="2" t="str">
        <f aca="false">'MASSIVE 24A '!C16</f>
        <v>N/A</v>
      </c>
      <c r="E14" s="2" t="str">
        <f aca="false">'MASSIVE 24A '!B16</f>
        <v>HASIBUL ALOM RAPTY</v>
      </c>
      <c r="F14" s="2" t="str">
        <f aca="false">'MASSIVE 24A '!D16</f>
        <v>01990-290405</v>
      </c>
      <c r="G14" s="2" t="str">
        <f aca="false">'MASSIVE 24A '!E16</f>
        <v>01683-871353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r="15" customFormat="false" ht="15" hidden="false" customHeight="false" outlineLevel="0" collapsed="false">
      <c r="A15" s="2" t="n">
        <v>14</v>
      </c>
      <c r="B15" s="2" t="s">
        <v>12</v>
      </c>
      <c r="C15" s="2" t="s">
        <v>13</v>
      </c>
      <c r="D15" s="2" t="n">
        <f aca="false">'MASSIVE 24A '!C17</f>
        <v>202</v>
      </c>
      <c r="E15" s="2" t="str">
        <f aca="false">'MASSIVE 24A '!B17</f>
        <v>KISHARA KIBRIA RIYA</v>
      </c>
      <c r="F15" s="2" t="str">
        <f aca="false">'MASSIVE 24A '!D17</f>
        <v>01312-625945</v>
      </c>
      <c r="G15" s="2" t="str">
        <f aca="false">'MASSIVE 24A '!E17</f>
        <v>01913-419496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</row>
    <row r="16" customFormat="false" ht="15" hidden="false" customHeight="false" outlineLevel="0" collapsed="false">
      <c r="A16" s="2" t="n">
        <v>15</v>
      </c>
      <c r="B16" s="2" t="s">
        <v>12</v>
      </c>
      <c r="C16" s="2" t="s">
        <v>13</v>
      </c>
      <c r="D16" s="2" t="n">
        <f aca="false">'MASSIVE 24A '!C18</f>
        <v>172</v>
      </c>
      <c r="E16" s="2" t="str">
        <f aca="false">'MASSIVE 24A '!B18</f>
        <v>HABIBUL SHIMANTO</v>
      </c>
      <c r="F16" s="2" t="str">
        <f aca="false">'MASSIVE 24A '!D18</f>
        <v>01860-020671</v>
      </c>
      <c r="G16" s="2" t="str">
        <f aca="false">'MASSIVE 24A '!E18</f>
        <v>01628-808591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</row>
    <row r="17" customFormat="false" ht="15" hidden="false" customHeight="false" outlineLevel="0" collapsed="false">
      <c r="A17" s="2" t="n">
        <v>16</v>
      </c>
      <c r="B17" s="2" t="s">
        <v>12</v>
      </c>
      <c r="C17" s="2" t="s">
        <v>13</v>
      </c>
      <c r="D17" s="2" t="n">
        <f aca="false">'MASSIVE 24A '!C19</f>
        <v>169</v>
      </c>
      <c r="E17" s="2" t="str">
        <f aca="false">'MASSIVE 24A '!B19</f>
        <v>FARHAN KHAN SUVO</v>
      </c>
      <c r="F17" s="2" t="str">
        <f aca="false">'MASSIVE 24A '!D19</f>
        <v>01916-927676</v>
      </c>
      <c r="G17" s="2" t="str">
        <f aca="false">'MASSIVE 24A '!E19</f>
        <v>01758-100992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</row>
    <row r="18" customFormat="false" ht="15" hidden="false" customHeight="false" outlineLevel="0" collapsed="false">
      <c r="A18" s="2" t="n">
        <v>17</v>
      </c>
      <c r="B18" s="2" t="s">
        <v>12</v>
      </c>
      <c r="C18" s="2" t="s">
        <v>13</v>
      </c>
      <c r="D18" s="2" t="n">
        <f aca="false">'MASSIVE 24A '!C20</f>
        <v>180</v>
      </c>
      <c r="E18" s="2" t="str">
        <f aca="false">'MASSIVE 24A '!B20</f>
        <v>JABED HOSAIN</v>
      </c>
      <c r="F18" s="2" t="str">
        <f aca="false">'MASSIVE 24A '!D20</f>
        <v>01815-682829</v>
      </c>
      <c r="G18" s="2" t="str">
        <f aca="false">'MASSIVE 24A '!E20</f>
        <v>01935-827859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</row>
    <row r="19" customFormat="false" ht="15" hidden="false" customHeight="false" outlineLevel="0" collapsed="false">
      <c r="A19" s="2" t="n">
        <v>18</v>
      </c>
      <c r="B19" s="2" t="s">
        <v>12</v>
      </c>
      <c r="C19" s="2" t="s">
        <v>13</v>
      </c>
      <c r="D19" s="2" t="str">
        <f aca="false">'MASSIVE 24A '!C21</f>
        <v>n/a</v>
      </c>
      <c r="E19" s="2" t="str">
        <f aca="false">'MASSIVE 24A '!B21</f>
        <v>MST NUSRAT JAHAN NEELA</v>
      </c>
      <c r="F19" s="2" t="str">
        <f aca="false">'MASSIVE 24A '!D21</f>
        <v>01987-031668</v>
      </c>
      <c r="G19" s="2" t="str">
        <f aca="false">'MASSIVE 24A '!E21</f>
        <v>01912-834664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</row>
    <row r="20" customFormat="false" ht="15" hidden="false" customHeight="false" outlineLevel="0" collapsed="false">
      <c r="A20" s="2" t="n">
        <v>19</v>
      </c>
      <c r="B20" s="2" t="s">
        <v>12</v>
      </c>
      <c r="C20" s="2" t="s">
        <v>13</v>
      </c>
      <c r="D20" s="2" t="n">
        <f aca="false">'MASSIVE 24A '!C22</f>
        <v>183</v>
      </c>
      <c r="E20" s="2" t="str">
        <f aca="false">'MASSIVE 24A '!B22</f>
        <v>MD EBRAHIM HASAN</v>
      </c>
      <c r="F20" s="2" t="str">
        <f aca="false">'MASSIVE 24A '!D22</f>
        <v>01608-876825</v>
      </c>
      <c r="G20" s="2" t="str">
        <f aca="false">'MASSIVE 24A '!E22</f>
        <v>01608-876825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</row>
    <row r="21" customFormat="false" ht="15" hidden="false" customHeight="false" outlineLevel="0" collapsed="false">
      <c r="A21" s="2" t="n">
        <v>20</v>
      </c>
      <c r="B21" s="2" t="s">
        <v>12</v>
      </c>
      <c r="C21" s="2" t="s">
        <v>13</v>
      </c>
      <c r="D21" s="2" t="n">
        <f aca="false">'MASSIVE 24A '!C23</f>
        <v>189</v>
      </c>
      <c r="E21" s="2" t="str">
        <f aca="false">'MASSIVE 24A '!B23</f>
        <v>MD SHAHJALAL</v>
      </c>
      <c r="F21" s="2" t="str">
        <f aca="false">'MASSIVE 24A '!D23</f>
        <v>01883-543069</v>
      </c>
      <c r="G21" s="2" t="n">
        <f aca="false">'MASSIVE 24A '!E23</f>
        <v>0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r="22" customFormat="false" ht="15" hidden="false" customHeight="false" outlineLevel="0" collapsed="false">
      <c r="A22" s="2" t="n">
        <v>21</v>
      </c>
      <c r="B22" s="2" t="s">
        <v>12</v>
      </c>
      <c r="C22" s="2" t="s">
        <v>13</v>
      </c>
      <c r="D22" s="2" t="n">
        <f aca="false">'MASSIVE 24A '!C24</f>
        <v>185</v>
      </c>
      <c r="E22" s="2" t="str">
        <f aca="false">'MASSIVE 24A '!B24</f>
        <v>KAMRUNA AKTER</v>
      </c>
      <c r="F22" s="2" t="str">
        <f aca="false">'MASSIVE 24A '!D24</f>
        <v>01961-686060</v>
      </c>
      <c r="G22" s="2" t="str">
        <f aca="false">'MASSIVE 24A '!E24</f>
        <v>01731-302196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</row>
    <row r="23" customFormat="false" ht="15" hidden="false" customHeight="false" outlineLevel="0" collapsed="false">
      <c r="A23" s="2" t="n">
        <v>22</v>
      </c>
      <c r="B23" s="2" t="s">
        <v>12</v>
      </c>
      <c r="C23" s="2" t="s">
        <v>13</v>
      </c>
      <c r="D23" s="2" t="str">
        <f aca="false">'MASSIVE 24A '!C25</f>
        <v>N/A</v>
      </c>
      <c r="E23" s="2" t="str">
        <f aca="false">'MASSIVE 24A '!B25</f>
        <v>RIDOY</v>
      </c>
      <c r="F23" s="2" t="n">
        <f aca="false">'MASSIVE 24A '!D25</f>
        <v>0</v>
      </c>
      <c r="G23" s="2" t="str">
        <f aca="false">'MASSIVE 24A '!E25</f>
        <v>01731-302196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</row>
    <row r="24" customFormat="false" ht="15" hidden="false" customHeight="false" outlineLevel="0" collapsed="false">
      <c r="A24" s="2" t="n">
        <v>23</v>
      </c>
      <c r="B24" s="2" t="s">
        <v>12</v>
      </c>
      <c r="C24" s="2" t="s">
        <v>13</v>
      </c>
      <c r="D24" s="2" t="n">
        <f aca="false">'MASSIVE 24A '!C26</f>
        <v>184</v>
      </c>
      <c r="E24" s="2" t="str">
        <f aca="false">'MASSIVE 24A '!B26</f>
        <v>EHSANUL BARI</v>
      </c>
      <c r="F24" s="2" t="str">
        <f aca="false">'MASSIVE 24A '!D26</f>
        <v>01921-458135</v>
      </c>
      <c r="G24" s="2" t="str">
        <f aca="false">'MASSIVE 24A '!E26</f>
        <v>01957-007394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</row>
    <row r="25" customFormat="false" ht="15" hidden="false" customHeight="false" outlineLevel="0" collapsed="false">
      <c r="A25" s="2" t="n">
        <v>24</v>
      </c>
      <c r="B25" s="2" t="s">
        <v>12</v>
      </c>
      <c r="C25" s="2" t="s">
        <v>13</v>
      </c>
      <c r="D25" s="2" t="n">
        <f aca="false">'MASSIVE 24A '!C27</f>
        <v>186</v>
      </c>
      <c r="E25" s="2" t="str">
        <f aca="false">'MASSIVE 24A '!B27</f>
        <v>SUNJIDA NAHAR SHUMIYA </v>
      </c>
      <c r="F25" s="2" t="str">
        <f aca="false">'MASSIVE 24A '!D27</f>
        <v>01730-845444</v>
      </c>
      <c r="G25" s="2" t="str">
        <f aca="false">'MASSIVE 24A '!E27</f>
        <v>01730-845444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</row>
    <row r="26" customFormat="false" ht="15" hidden="false" customHeight="false" outlineLevel="0" collapsed="false">
      <c r="A26" s="2" t="n">
        <v>25</v>
      </c>
      <c r="B26" s="2" t="s">
        <v>12</v>
      </c>
      <c r="C26" s="2" t="s">
        <v>13</v>
      </c>
      <c r="D26" s="2" t="n">
        <f aca="false">'MASSIVE 24A '!C28</f>
        <v>179</v>
      </c>
      <c r="E26" s="2" t="str">
        <f aca="false">'MASSIVE 24A '!B28</f>
        <v>MD AHANAF ADIL</v>
      </c>
      <c r="F26" s="2" t="str">
        <f aca="false">'MASSIVE 24A '!D28</f>
        <v>01978-349007</v>
      </c>
      <c r="G26" s="2" t="n">
        <f aca="false">'MASSIVE 24A '!E28</f>
        <v>0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r="27" customFormat="false" ht="15" hidden="false" customHeight="false" outlineLevel="0" collapsed="false">
      <c r="A27" s="2" t="n">
        <v>26</v>
      </c>
      <c r="B27" s="2" t="s">
        <v>12</v>
      </c>
      <c r="C27" s="2" t="s">
        <v>13</v>
      </c>
      <c r="D27" s="2" t="n">
        <f aca="false">'MASSIVE 24A '!C29</f>
        <v>205</v>
      </c>
      <c r="E27" s="2" t="str">
        <f aca="false">'MASSIVE 24A '!B29</f>
        <v>JESAN KHAN</v>
      </c>
      <c r="F27" s="2" t="str">
        <f aca="false">'MASSIVE 24A '!D29</f>
        <v>01764-299473</v>
      </c>
      <c r="G27" s="2" t="str">
        <f aca="false">'MASSIVE 24A '!E29</f>
        <v>01716-025629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r="28" customFormat="false" ht="15" hidden="false" customHeight="false" outlineLevel="0" collapsed="false">
      <c r="A28" s="2" t="n">
        <v>27</v>
      </c>
      <c r="B28" s="2" t="s">
        <v>12</v>
      </c>
      <c r="C28" s="2" t="s">
        <v>13</v>
      </c>
      <c r="D28" s="2" t="n">
        <f aca="false">'MASSIVE 24A '!C30</f>
        <v>161</v>
      </c>
      <c r="E28" s="2" t="str">
        <f aca="false">'MASSIVE 24A '!B30</f>
        <v>JAMAL MIAH</v>
      </c>
      <c r="F28" s="2" t="str">
        <f aca="false">'MASSIVE 24A '!D30</f>
        <v>01705-287924</v>
      </c>
      <c r="G28" s="2" t="str">
        <f aca="false">'MASSIVE 24A '!E30</f>
        <v>01862-274133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</row>
    <row r="29" customFormat="false" ht="15" hidden="false" customHeight="false" outlineLevel="0" collapsed="false">
      <c r="A29" s="2" t="n">
        <v>28</v>
      </c>
      <c r="B29" s="2" t="s">
        <v>12</v>
      </c>
      <c r="C29" s="2" t="s">
        <v>13</v>
      </c>
      <c r="D29" s="2" t="str">
        <f aca="false">'MASSIVE 24A '!C31</f>
        <v>204</v>
      </c>
      <c r="E29" s="2" t="str">
        <f aca="false">'MASSIVE 24A '!B31</f>
        <v>Rifat Foraji</v>
      </c>
      <c r="F29" s="2" t="str">
        <f aca="false">'MASSIVE 24A '!D31</f>
        <v>01779-38885</v>
      </c>
      <c r="G29" s="2" t="str">
        <f aca="false">'MASSIVE 24A '!E31</f>
        <v>01721-068412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</row>
    <row r="30" customFormat="false" ht="15" hidden="false" customHeight="false" outlineLevel="0" collapsed="false">
      <c r="A30" s="2" t="n">
        <v>29</v>
      </c>
      <c r="B30" s="2" t="s">
        <v>15</v>
      </c>
      <c r="C30" s="2" t="s">
        <v>13</v>
      </c>
      <c r="D30" s="2" t="n">
        <f aca="false">'MASSIVE  24B'!C4</f>
        <v>171</v>
      </c>
      <c r="E30" s="2" t="str">
        <f aca="false">'MASSIVE  24B'!B4</f>
        <v>SUVRA  MALAKER</v>
      </c>
      <c r="F30" s="2" t="str">
        <f aca="false">'MASSIVE  24B'!D4</f>
        <v>01674-470243</v>
      </c>
      <c r="G30" s="2" t="str">
        <f aca="false">'MASSIVE  24B'!E4</f>
        <v>01521-216898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</row>
    <row r="31" customFormat="false" ht="15" hidden="false" customHeight="false" outlineLevel="0" collapsed="false">
      <c r="A31" s="2" t="n">
        <v>30</v>
      </c>
      <c r="B31" s="2" t="s">
        <v>15</v>
      </c>
      <c r="C31" s="2" t="s">
        <v>13</v>
      </c>
      <c r="D31" s="2" t="n">
        <f aca="false">'MASSIVE  24B'!C5</f>
        <v>156</v>
      </c>
      <c r="E31" s="2" t="str">
        <f aca="false">'MASSIVE  24B'!B5</f>
        <v>MD AFNAN HOSEN ALIF</v>
      </c>
      <c r="F31" s="2" t="str">
        <f aca="false">'MASSIVE  24B'!D5</f>
        <v>01303-844242</v>
      </c>
      <c r="G31" s="2" t="str">
        <f aca="false">'MASSIVE  24B'!E5</f>
        <v>01303-844242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</row>
    <row r="32" customFormat="false" ht="15" hidden="false" customHeight="false" outlineLevel="0" collapsed="false">
      <c r="A32" s="2" t="n">
        <v>31</v>
      </c>
      <c r="B32" s="2" t="s">
        <v>15</v>
      </c>
      <c r="C32" s="2" t="s">
        <v>13</v>
      </c>
      <c r="D32" s="2" t="n">
        <f aca="false">'MASSIVE  24B'!C6</f>
        <v>158</v>
      </c>
      <c r="E32" s="2" t="str">
        <f aca="false">'MASSIVE  24B'!B6</f>
        <v>JAHURA AKTER</v>
      </c>
      <c r="F32" s="2" t="n">
        <f aca="false">'MASSIVE  24B'!D6</f>
        <v>0</v>
      </c>
      <c r="G32" s="2" t="str">
        <f aca="false">'MASSIVE  24B'!E6</f>
        <v>01720-234626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</row>
    <row r="33" customFormat="false" ht="15" hidden="false" customHeight="false" outlineLevel="0" collapsed="false">
      <c r="A33" s="2" t="n">
        <v>32</v>
      </c>
      <c r="B33" s="2" t="s">
        <v>15</v>
      </c>
      <c r="C33" s="2" t="s">
        <v>13</v>
      </c>
      <c r="D33" s="2" t="n">
        <f aca="false">'MASSIVE  24B'!C7</f>
        <v>129</v>
      </c>
      <c r="E33" s="2" t="str">
        <f aca="false">'MASSIVE  24B'!B7</f>
        <v>MD ARIF MIAH</v>
      </c>
      <c r="F33" s="2" t="str">
        <f aca="false">'MASSIVE  24B'!D7</f>
        <v>01619-745810</v>
      </c>
      <c r="G33" s="2" t="str">
        <f aca="false">'MASSIVE  24B'!E7</f>
        <v>01887-403519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customFormat="false" ht="15" hidden="false" customHeight="false" outlineLevel="0" collapsed="false">
      <c r="A34" s="2" t="n">
        <v>33</v>
      </c>
      <c r="B34" s="2" t="s">
        <v>15</v>
      </c>
      <c r="C34" s="2" t="s">
        <v>13</v>
      </c>
      <c r="D34" s="2" t="n">
        <f aca="false">'MASSIVE  24B'!C8</f>
        <v>130</v>
      </c>
      <c r="E34" s="2" t="str">
        <f aca="false">'MASSIVE  24B'!B8</f>
        <v>MEHADI HASAN</v>
      </c>
      <c r="F34" s="2" t="str">
        <f aca="false">'MASSIVE  24B'!D8</f>
        <v>01705-062132</v>
      </c>
      <c r="G34" s="2" t="str">
        <f aca="false">'MASSIVE  24B'!E8</f>
        <v>01571-425749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</row>
    <row r="35" customFormat="false" ht="15" hidden="false" customHeight="false" outlineLevel="0" collapsed="false">
      <c r="A35" s="2" t="n">
        <v>34</v>
      </c>
      <c r="B35" s="2" t="s">
        <v>15</v>
      </c>
      <c r="C35" s="2" t="s">
        <v>13</v>
      </c>
      <c r="D35" s="2" t="n">
        <f aca="false">'MASSIVE  24B'!C9</f>
        <v>131</v>
      </c>
      <c r="E35" s="2" t="str">
        <f aca="false">'MASSIVE  24B'!B9</f>
        <v>MD KAMRUL ISLAM ASHIK</v>
      </c>
      <c r="F35" s="2" t="str">
        <f aca="false">'MASSIVE  24B'!D9</f>
        <v>01840-520260</v>
      </c>
      <c r="G35" s="2" t="str">
        <f aca="false">'MASSIVE  24B'!E9</f>
        <v>01516-789519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</row>
    <row r="36" customFormat="false" ht="15" hidden="false" customHeight="false" outlineLevel="0" collapsed="false">
      <c r="A36" s="2" t="n">
        <v>35</v>
      </c>
      <c r="B36" s="2" t="s">
        <v>15</v>
      </c>
      <c r="C36" s="2" t="s">
        <v>13</v>
      </c>
      <c r="D36" s="2" t="n">
        <f aca="false">'MASSIVE  24B'!C10</f>
        <v>133</v>
      </c>
      <c r="E36" s="2" t="str">
        <f aca="false">'MASSIVE  24B'!B10</f>
        <v>MD ALAUDDIN </v>
      </c>
      <c r="F36" s="2" t="str">
        <f aca="false">'MASSIVE  24B'!D10</f>
        <v>01995-072029</v>
      </c>
      <c r="G36" s="2" t="str">
        <f aca="false">'MASSIVE  24B'!E10</f>
        <v>01886-347582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</row>
    <row r="37" customFormat="false" ht="15" hidden="false" customHeight="false" outlineLevel="0" collapsed="false">
      <c r="A37" s="2" t="n">
        <v>36</v>
      </c>
      <c r="B37" s="2" t="s">
        <v>15</v>
      </c>
      <c r="C37" s="2" t="s">
        <v>13</v>
      </c>
      <c r="D37" s="2" t="n">
        <f aca="false">'MASSIVE  24B'!C11</f>
        <v>134</v>
      </c>
      <c r="E37" s="2" t="str">
        <f aca="false">'MASSIVE  24B'!B11</f>
        <v>KAWSER AHAMED</v>
      </c>
      <c r="F37" s="2" t="str">
        <f aca="false">'MASSIVE  24B'!D11</f>
        <v>01887-397509</v>
      </c>
      <c r="G37" s="2" t="str">
        <f aca="false">'MASSIVE  24B'!E11</f>
        <v>01644-352805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</row>
    <row r="38" customFormat="false" ht="15" hidden="false" customHeight="false" outlineLevel="0" collapsed="false">
      <c r="A38" s="2" t="n">
        <v>37</v>
      </c>
      <c r="B38" s="2" t="s">
        <v>15</v>
      </c>
      <c r="C38" s="2" t="s">
        <v>13</v>
      </c>
      <c r="D38" s="2" t="n">
        <f aca="false">'MASSIVE  24B'!C12</f>
        <v>147</v>
      </c>
      <c r="E38" s="2" t="str">
        <f aca="false">'MASSIVE  24B'!B12</f>
        <v>MAHABUB HASAN SHUVO</v>
      </c>
      <c r="F38" s="2" t="str">
        <f aca="false">'MASSIVE  24B'!D12</f>
        <v>01842-115268</v>
      </c>
      <c r="G38" s="2" t="str">
        <f aca="false">'MASSIVE  24B'!E12</f>
        <v>01720-044163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</row>
    <row r="39" customFormat="false" ht="15" hidden="false" customHeight="false" outlineLevel="0" collapsed="false">
      <c r="A39" s="2" t="n">
        <v>38</v>
      </c>
      <c r="B39" s="2" t="s">
        <v>15</v>
      </c>
      <c r="C39" s="2" t="s">
        <v>13</v>
      </c>
      <c r="D39" s="2" t="n">
        <f aca="false">'MASSIVE  24B'!C13</f>
        <v>141</v>
      </c>
      <c r="E39" s="2" t="str">
        <f aca="false">'MASSIVE  24B'!B13</f>
        <v>JANNAT FATEMA</v>
      </c>
      <c r="F39" s="2" t="str">
        <f aca="false">'MASSIVE  24B'!D13</f>
        <v>01762-404885</v>
      </c>
      <c r="G39" s="2" t="str">
        <f aca="false">'MASSIVE  24B'!E13</f>
        <v>01762-404885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  <row r="40" customFormat="false" ht="15" hidden="false" customHeight="false" outlineLevel="0" collapsed="false">
      <c r="A40" s="2" t="n">
        <v>39</v>
      </c>
      <c r="B40" s="2" t="s">
        <v>15</v>
      </c>
      <c r="C40" s="2" t="s">
        <v>13</v>
      </c>
      <c r="D40" s="2" t="n">
        <f aca="false">'MASSIVE  24B'!C14</f>
        <v>142</v>
      </c>
      <c r="E40" s="2" t="str">
        <f aca="false">'MASSIVE  24B'!B14</f>
        <v>SURAIYA AHMED</v>
      </c>
      <c r="F40" s="2" t="str">
        <f aca="false">'MASSIVE  24B'!D14</f>
        <v>01712-331187</v>
      </c>
      <c r="G40" s="2" t="n">
        <f aca="false">'MASSIVE  24B'!E14</f>
        <v>0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</row>
    <row r="41" customFormat="false" ht="15" hidden="false" customHeight="false" outlineLevel="0" collapsed="false">
      <c r="A41" s="2" t="n">
        <v>40</v>
      </c>
      <c r="B41" s="2" t="s">
        <v>15</v>
      </c>
      <c r="C41" s="2" t="s">
        <v>13</v>
      </c>
      <c r="D41" s="2" t="n">
        <f aca="false">'MASSIVE  24B'!C15</f>
        <v>140</v>
      </c>
      <c r="E41" s="2" t="str">
        <f aca="false">'MASSIVE  24B'!B15</f>
        <v>SHEIKH SEAMUR RAHMAN NIBIR</v>
      </c>
      <c r="F41" s="2" t="str">
        <f aca="false">'MASSIVE  24B'!D15</f>
        <v>01639-566941</v>
      </c>
      <c r="G41" s="2" t="str">
        <f aca="false">'MASSIVE  24B'!E15</f>
        <v>01301-483707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</row>
    <row r="42" customFormat="false" ht="15" hidden="false" customHeight="false" outlineLevel="0" collapsed="false">
      <c r="A42" s="2" t="n">
        <v>41</v>
      </c>
      <c r="B42" s="2" t="s">
        <v>15</v>
      </c>
      <c r="C42" s="2" t="s">
        <v>13</v>
      </c>
      <c r="D42" s="2" t="n">
        <f aca="false">'MASSIVE  24B'!C16</f>
        <v>139</v>
      </c>
      <c r="E42" s="2" t="str">
        <f aca="false">'MASSIVE  24B'!B16</f>
        <v>RIFAT ISLAM APURBO</v>
      </c>
      <c r="F42" s="2" t="str">
        <f aca="false">'MASSIVE  24B'!D16</f>
        <v>01836-813717</v>
      </c>
      <c r="G42" s="2" t="str">
        <f aca="false">'MASSIVE  24B'!E16</f>
        <v>01945-199316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</row>
    <row r="43" customFormat="false" ht="15" hidden="false" customHeight="false" outlineLevel="0" collapsed="false">
      <c r="A43" s="2" t="n">
        <v>42</v>
      </c>
      <c r="B43" s="2" t="s">
        <v>15</v>
      </c>
      <c r="C43" s="2" t="s">
        <v>13</v>
      </c>
      <c r="D43" s="2" t="n">
        <f aca="false">'MASSIVE  24B'!C17</f>
        <v>138</v>
      </c>
      <c r="E43" s="2" t="str">
        <f aca="false">'MASSIVE  24B'!B17</f>
        <v>AKTER HOSSAIN</v>
      </c>
      <c r="F43" s="2" t="str">
        <f aca="false">'MASSIVE  24B'!D17</f>
        <v>01568-477334</v>
      </c>
      <c r="G43" s="2" t="str">
        <f aca="false">'MASSIVE  24B'!E17</f>
        <v>01568-477339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</row>
    <row r="44" customFormat="false" ht="15" hidden="false" customHeight="false" outlineLevel="0" collapsed="false">
      <c r="A44" s="2" t="n">
        <v>43</v>
      </c>
      <c r="B44" s="2" t="s">
        <v>15</v>
      </c>
      <c r="C44" s="2" t="s">
        <v>13</v>
      </c>
      <c r="D44" s="2" t="n">
        <f aca="false">'MASSIVE  24B'!C18</f>
        <v>144</v>
      </c>
      <c r="E44" s="2" t="str">
        <f aca="false">'MASSIVE  24B'!B18</f>
        <v>ROKEYA HOSSAIN</v>
      </c>
      <c r="F44" s="2" t="str">
        <f aca="false">'MASSIVE  24B'!D18</f>
        <v>01994-685177</v>
      </c>
      <c r="G44" s="2" t="str">
        <f aca="false">'MASSIVE  24B'!E18</f>
        <v>01710-149544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</row>
    <row r="45" customFormat="false" ht="15" hidden="false" customHeight="false" outlineLevel="0" collapsed="false">
      <c r="A45" s="2" t="n">
        <v>44</v>
      </c>
      <c r="B45" s="2" t="s">
        <v>15</v>
      </c>
      <c r="C45" s="2" t="s">
        <v>13</v>
      </c>
      <c r="D45" s="2" t="n">
        <f aca="false">'MASSIVE  24B'!C19</f>
        <v>135</v>
      </c>
      <c r="E45" s="2" t="str">
        <f aca="false">'MASSIVE  24B'!B19</f>
        <v>JANNATUL FERDOUS PAYEL</v>
      </c>
      <c r="F45" s="2" t="str">
        <f aca="false">'MASSIVE  24B'!D19</f>
        <v>01537-309614</v>
      </c>
      <c r="G45" s="2" t="str">
        <f aca="false">'MASSIVE  24B'!E19</f>
        <v>01712-988967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</row>
    <row r="46" customFormat="false" ht="15" hidden="false" customHeight="false" outlineLevel="0" collapsed="false">
      <c r="A46" s="2" t="n">
        <v>45</v>
      </c>
      <c r="B46" s="2" t="s">
        <v>15</v>
      </c>
      <c r="C46" s="2" t="s">
        <v>13</v>
      </c>
      <c r="D46" s="2" t="n">
        <f aca="false">'MASSIVE  24B'!C20</f>
        <v>149</v>
      </c>
      <c r="E46" s="2" t="str">
        <f aca="false">'MASSIVE  24B'!B20</f>
        <v>RAHAT HOSASIN</v>
      </c>
      <c r="F46" s="2" t="str">
        <f aca="false">'MASSIVE  24B'!D20</f>
        <v>01701-023059</v>
      </c>
      <c r="G46" s="2" t="str">
        <f aca="false">'MASSIVE  24B'!E20</f>
        <v>01712-643903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</row>
    <row r="47" customFormat="false" ht="15" hidden="false" customHeight="false" outlineLevel="0" collapsed="false">
      <c r="A47" s="2" t="n">
        <v>46</v>
      </c>
      <c r="B47" s="2" t="s">
        <v>15</v>
      </c>
      <c r="C47" s="2" t="s">
        <v>13</v>
      </c>
      <c r="D47" s="2" t="n">
        <f aca="false">'MASSIVE  24B'!C21</f>
        <v>137</v>
      </c>
      <c r="E47" s="2" t="str">
        <f aca="false">'MASSIVE  24B'!B21</f>
        <v>SURMA AKTER</v>
      </c>
      <c r="F47" s="2" t="str">
        <f aca="false">'MASSIVE  24B'!D21</f>
        <v>01994-897008</v>
      </c>
      <c r="G47" s="2" t="str">
        <f aca="false">'MASSIVE  24B'!E21</f>
        <v>01914-020262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</row>
    <row r="48" customFormat="false" ht="15" hidden="false" customHeight="false" outlineLevel="0" collapsed="false">
      <c r="A48" s="2" t="n">
        <v>47</v>
      </c>
      <c r="B48" s="2" t="s">
        <v>15</v>
      </c>
      <c r="C48" s="2" t="s">
        <v>13</v>
      </c>
      <c r="D48" s="2" t="n">
        <f aca="false">'MASSIVE  24B'!C22</f>
        <v>124</v>
      </c>
      <c r="E48" s="2" t="str">
        <f aca="false">'MASSIVE  24B'!B22</f>
        <v>MD MAHBUBUR RAHMAN RIFAT</v>
      </c>
      <c r="F48" s="2" t="str">
        <f aca="false">'MASSIVE  24B'!D22</f>
        <v>01762-529307</v>
      </c>
      <c r="G48" s="2" t="n">
        <f aca="false">'MASSIVE  24B'!E22</f>
        <v>0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</row>
    <row r="49" customFormat="false" ht="15" hidden="false" customHeight="false" outlineLevel="0" collapsed="false">
      <c r="A49" s="2" t="n">
        <v>48</v>
      </c>
      <c r="B49" s="2" t="s">
        <v>15</v>
      </c>
      <c r="C49" s="2" t="s">
        <v>13</v>
      </c>
      <c r="D49" s="2" t="n">
        <f aca="false">'MASSIVE  24B'!C23</f>
        <v>132</v>
      </c>
      <c r="E49" s="2" t="str">
        <f aca="false">'MASSIVE  24B'!B23</f>
        <v>ISMAIL</v>
      </c>
      <c r="F49" s="2" t="str">
        <f aca="false">'MASSIVE  24B'!D23</f>
        <v>01810-864000</v>
      </c>
      <c r="G49" s="2" t="str">
        <f aca="false">'MASSIVE  24B'!E23</f>
        <v>01734-452122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</row>
    <row r="50" customFormat="false" ht="15" hidden="false" customHeight="false" outlineLevel="0" collapsed="false">
      <c r="A50" s="2" t="n">
        <v>49</v>
      </c>
      <c r="B50" s="2" t="s">
        <v>15</v>
      </c>
      <c r="C50" s="2" t="s">
        <v>13</v>
      </c>
      <c r="D50" s="2" t="n">
        <f aca="false">'MASSIVE  24B'!C24</f>
        <v>126</v>
      </c>
      <c r="E50" s="2" t="str">
        <f aca="false">'MASSIVE  24B'!B24</f>
        <v>MDD FAISAL</v>
      </c>
      <c r="F50" s="2" t="str">
        <f aca="false">'MASSIVE  24B'!D24</f>
        <v>01683-243468</v>
      </c>
      <c r="G50" s="2" t="n">
        <f aca="false">'MASSIVE  24B'!E24</f>
        <v>0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</row>
    <row r="51" customFormat="false" ht="15" hidden="false" customHeight="false" outlineLevel="0" collapsed="false">
      <c r="A51" s="2" t="n">
        <v>50</v>
      </c>
      <c r="B51" s="2" t="s">
        <v>15</v>
      </c>
      <c r="C51" s="2" t="s">
        <v>13</v>
      </c>
      <c r="D51" s="2" t="n">
        <f aca="false">'MASSIVE  24B'!C25</f>
        <v>145</v>
      </c>
      <c r="E51" s="2" t="str">
        <f aca="false">'MASSIVE  24B'!B25</f>
        <v>RAYSUL AHMED BAPON</v>
      </c>
      <c r="F51" s="2" t="str">
        <f aca="false">'MASSIVE  24B'!D25</f>
        <v>01812-696836</v>
      </c>
      <c r="G51" s="2" t="str">
        <f aca="false">'MASSIVE  24B'!E25</f>
        <v>01795-186061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</row>
    <row r="52" customFormat="false" ht="15" hidden="false" customHeight="false" outlineLevel="0" collapsed="false">
      <c r="A52" s="2" t="n">
        <v>51</v>
      </c>
      <c r="B52" s="2" t="s">
        <v>15</v>
      </c>
      <c r="C52" s="2" t="s">
        <v>13</v>
      </c>
      <c r="D52" s="2" t="n">
        <f aca="false">'MASSIVE  24B'!C26</f>
        <v>151</v>
      </c>
      <c r="E52" s="2" t="str">
        <f aca="false">'MASSIVE  24B'!B26</f>
        <v>MD RAYHAN </v>
      </c>
      <c r="F52" s="2" t="str">
        <f aca="false">'MASSIVE  24B'!D26</f>
        <v>01815-256701</v>
      </c>
      <c r="G52" s="2" t="str">
        <f aca="false">'MASSIVE  24B'!E26</f>
        <v>01924-936245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</row>
    <row r="53" customFormat="false" ht="15" hidden="false" customHeight="false" outlineLevel="0" collapsed="false">
      <c r="A53" s="2" t="n">
        <v>52</v>
      </c>
      <c r="B53" s="2" t="s">
        <v>15</v>
      </c>
      <c r="C53" s="2" t="s">
        <v>13</v>
      </c>
      <c r="D53" s="2" t="n">
        <f aca="false">'MASSIVE  24B'!C27</f>
        <v>148</v>
      </c>
      <c r="E53" s="2" t="str">
        <f aca="false">'MASSIVE  24B'!B27</f>
        <v>SAMSUN NAHAR TAMIM</v>
      </c>
      <c r="F53" s="2" t="str">
        <f aca="false">'MASSIVE  24B'!D27</f>
        <v>01580-850198</v>
      </c>
      <c r="G53" s="2" t="str">
        <f aca="false">'MASSIVE  24B'!E27</f>
        <v>01963-088014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</row>
    <row r="54" customFormat="false" ht="15" hidden="false" customHeight="false" outlineLevel="0" collapsed="false">
      <c r="A54" s="2" t="n">
        <v>53</v>
      </c>
      <c r="B54" s="2" t="s">
        <v>15</v>
      </c>
      <c r="C54" s="2" t="s">
        <v>13</v>
      </c>
      <c r="D54" s="2" t="n">
        <f aca="false">'MASSIVE  24B'!C28</f>
        <v>152</v>
      </c>
      <c r="E54" s="2" t="str">
        <f aca="false">'MASSIVE  24B'!B28</f>
        <v>MD ZUBAYER AHMED</v>
      </c>
      <c r="F54" s="2" t="str">
        <f aca="false">'MASSIVE  24B'!D28</f>
        <v>01639-145662</v>
      </c>
      <c r="G54" s="2" t="str">
        <f aca="false">'MASSIVE  24B'!E28</f>
        <v>01711-694854</v>
      </c>
      <c r="H54" s="2" t="s">
        <v>14</v>
      </c>
      <c r="I54" s="2" t="s">
        <v>14</v>
      </c>
      <c r="J54" s="2" t="s">
        <v>14</v>
      </c>
      <c r="K54" s="2" t="s">
        <v>14</v>
      </c>
      <c r="L54" s="2" t="s">
        <v>14</v>
      </c>
    </row>
    <row r="55" customFormat="false" ht="15" hidden="false" customHeight="false" outlineLevel="0" collapsed="false">
      <c r="A55" s="2" t="n">
        <v>54</v>
      </c>
      <c r="B55" s="2" t="s">
        <v>15</v>
      </c>
      <c r="C55" s="2" t="s">
        <v>13</v>
      </c>
      <c r="D55" s="2" t="n">
        <f aca="false">'MASSIVE  24B'!C29</f>
        <v>152</v>
      </c>
      <c r="E55" s="2" t="str">
        <f aca="false">'MASSIVE  24B'!B29</f>
        <v>RUBEL</v>
      </c>
      <c r="F55" s="2" t="str">
        <f aca="false">'MASSIVE  24B'!D29</f>
        <v>01866-105368</v>
      </c>
      <c r="G55" s="2" t="str">
        <f aca="false">'MASSIVE  24B'!E29</f>
        <v>01986-90738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</row>
    <row r="56" customFormat="false" ht="15" hidden="false" customHeight="false" outlineLevel="0" collapsed="false">
      <c r="A56" s="2" t="n">
        <v>55</v>
      </c>
      <c r="B56" s="2" t="s">
        <v>15</v>
      </c>
      <c r="C56" s="2" t="s">
        <v>13</v>
      </c>
      <c r="D56" s="2" t="n">
        <f aca="false">'MASSIVE  24B'!C30</f>
        <v>118</v>
      </c>
      <c r="E56" s="2" t="str">
        <f aca="false">'MASSIVE  24B'!B30</f>
        <v>MD SHUAYEEB HOSSAIN</v>
      </c>
      <c r="F56" s="2" t="str">
        <f aca="false">'MASSIVE  24B'!D30</f>
        <v>01787-401109</v>
      </c>
      <c r="G56" s="2" t="str">
        <f aca="false">'MASSIVE  24B'!E30</f>
        <v>01749-504389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</row>
    <row r="57" customFormat="false" ht="15" hidden="false" customHeight="false" outlineLevel="0" collapsed="false">
      <c r="A57" s="2" t="n">
        <v>56</v>
      </c>
      <c r="B57" s="2" t="s">
        <v>15</v>
      </c>
      <c r="C57" s="2" t="s">
        <v>13</v>
      </c>
      <c r="D57" s="2" t="n">
        <f aca="false">'MASSIVE  24B'!C31</f>
        <v>117</v>
      </c>
      <c r="E57" s="2" t="str">
        <f aca="false">'MASSIVE  24B'!B31</f>
        <v>MD MORSALIN </v>
      </c>
      <c r="F57" s="2" t="str">
        <f aca="false">'MASSIVE  24B'!D31</f>
        <v>01625-266066</v>
      </c>
      <c r="G57" s="2" t="str">
        <f aca="false">'MASSIVE  24B'!E31</f>
        <v>01911-331538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</row>
    <row r="58" customFormat="false" ht="15" hidden="false" customHeight="false" outlineLevel="0" collapsed="false">
      <c r="A58" s="2" t="n">
        <v>57</v>
      </c>
      <c r="B58" s="2" t="s">
        <v>15</v>
      </c>
      <c r="C58" s="2" t="s">
        <v>13</v>
      </c>
      <c r="D58" s="2" t="n">
        <f aca="false">'MASSIVE  24B'!C32</f>
        <v>119</v>
      </c>
      <c r="E58" s="2" t="str">
        <f aca="false">'MASSIVE  24B'!B32</f>
        <v>FAHMIDA SUBNAM PRITY</v>
      </c>
      <c r="F58" s="2" t="str">
        <f aca="false">'MASSIVE  24B'!D32</f>
        <v>01614-415012</v>
      </c>
      <c r="G58" s="2" t="n">
        <f aca="false">'MASSIVE  24B'!E32</f>
        <v>0</v>
      </c>
      <c r="H58" s="2" t="s">
        <v>14</v>
      </c>
      <c r="I58" s="2" t="s">
        <v>14</v>
      </c>
      <c r="J58" s="2" t="s">
        <v>14</v>
      </c>
      <c r="K58" s="2" t="s">
        <v>14</v>
      </c>
      <c r="L58" s="2" t="s">
        <v>14</v>
      </c>
    </row>
    <row r="59" customFormat="false" ht="15" hidden="false" customHeight="false" outlineLevel="0" collapsed="false">
      <c r="A59" s="2" t="n">
        <v>58</v>
      </c>
      <c r="B59" s="2" t="s">
        <v>15</v>
      </c>
      <c r="C59" s="2" t="s">
        <v>13</v>
      </c>
      <c r="D59" s="2" t="n">
        <f aca="false">'MASSIVE  24B'!C33</f>
        <v>120</v>
      </c>
      <c r="E59" s="2" t="str">
        <f aca="false">'MASSIVE  24B'!B33</f>
        <v>MD ADNAN AHMED </v>
      </c>
      <c r="F59" s="2" t="str">
        <f aca="false">'MASSIVE  24B'!D33</f>
        <v>01885-576261</v>
      </c>
      <c r="G59" s="2" t="str">
        <f aca="false">'MASSIVE  24B'!E33</f>
        <v>01718-203491</v>
      </c>
      <c r="H59" s="2" t="s">
        <v>14</v>
      </c>
      <c r="I59" s="2" t="s">
        <v>14</v>
      </c>
      <c r="J59" s="2" t="s">
        <v>14</v>
      </c>
      <c r="K59" s="2" t="s">
        <v>14</v>
      </c>
      <c r="L59" s="2" t="s">
        <v>14</v>
      </c>
    </row>
    <row r="60" customFormat="false" ht="15" hidden="false" customHeight="false" outlineLevel="0" collapsed="false">
      <c r="A60" s="2" t="n">
        <v>59</v>
      </c>
      <c r="B60" s="2" t="s">
        <v>15</v>
      </c>
      <c r="C60" s="2" t="s">
        <v>13</v>
      </c>
      <c r="D60" s="2" t="n">
        <f aca="false">'MASSIVE  24B'!C34</f>
        <v>109</v>
      </c>
      <c r="E60" s="2" t="str">
        <f aca="false">'MASSIVE  24B'!B34</f>
        <v>PRIYA AKTER MOU</v>
      </c>
      <c r="F60" s="2" t="str">
        <f aca="false">'MASSIVE  24B'!D34</f>
        <v>01676-627798</v>
      </c>
      <c r="G60" s="2" t="str">
        <f aca="false">'MASSIVE  24B'!E34</f>
        <v>01689-075790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</row>
    <row r="61" customFormat="false" ht="15" hidden="false" customHeight="false" outlineLevel="0" collapsed="false">
      <c r="A61" s="2" t="n">
        <v>60</v>
      </c>
      <c r="B61" s="2" t="s">
        <v>15</v>
      </c>
      <c r="C61" s="2" t="s">
        <v>13</v>
      </c>
      <c r="D61" s="2" t="n">
        <f aca="false">'MASSIVE  24B'!C35</f>
        <v>108</v>
      </c>
      <c r="E61" s="2" t="str">
        <f aca="false">'MASSIVE  24B'!B35</f>
        <v>HAJERA AKTER</v>
      </c>
      <c r="F61" s="2" t="str">
        <f aca="false">'MASSIVE  24B'!D35</f>
        <v>01879-877425</v>
      </c>
      <c r="G61" s="2" t="str">
        <f aca="false">'MASSIVE  24B'!E35</f>
        <v>01882-891472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</row>
    <row r="62" customFormat="false" ht="15" hidden="false" customHeight="false" outlineLevel="0" collapsed="false">
      <c r="A62" s="2" t="n">
        <v>61</v>
      </c>
      <c r="B62" s="2" t="s">
        <v>16</v>
      </c>
      <c r="C62" s="2" t="s">
        <v>13</v>
      </c>
      <c r="D62" s="2" t="n">
        <f aca="false">'MASSIVE  25A'!C4</f>
        <v>190</v>
      </c>
      <c r="E62" s="2" t="str">
        <f aca="false">'MASSIVE  25A'!B4</f>
        <v>Nazmul Hasan</v>
      </c>
      <c r="F62" s="2" t="n">
        <f aca="false">'MASSIVE  25A'!D4</f>
        <v>1841561838</v>
      </c>
      <c r="G62" s="2" t="n">
        <f aca="false">'MASSIVE  25A'!E4</f>
        <v>1724761838</v>
      </c>
      <c r="H62" s="2" t="s">
        <v>14</v>
      </c>
      <c r="I62" s="2" t="s">
        <v>14</v>
      </c>
      <c r="J62" s="2" t="s">
        <v>14</v>
      </c>
      <c r="K62" s="2" t="s">
        <v>14</v>
      </c>
      <c r="L62" s="2" t="s">
        <v>14</v>
      </c>
    </row>
    <row r="63" customFormat="false" ht="15" hidden="false" customHeight="false" outlineLevel="0" collapsed="false">
      <c r="A63" s="2" t="n">
        <v>62</v>
      </c>
      <c r="B63" s="2" t="s">
        <v>16</v>
      </c>
      <c r="C63" s="2" t="s">
        <v>13</v>
      </c>
      <c r="D63" s="2" t="n">
        <f aca="false">'MASSIVE  25A'!C5</f>
        <v>193</v>
      </c>
      <c r="E63" s="2" t="str">
        <f aca="false">'MASSIVE  25A'!B5</f>
        <v>Sumaiya Arefin Sumu</v>
      </c>
      <c r="F63" s="2" t="n">
        <f aca="false">'MASSIVE  25A'!D5</f>
        <v>1784883491</v>
      </c>
      <c r="G63" s="2" t="n">
        <f aca="false">'MASSIVE  25A'!E5</f>
        <v>1711663693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</row>
    <row r="64" customFormat="false" ht="15" hidden="false" customHeight="false" outlineLevel="0" collapsed="false">
      <c r="A64" s="2" t="n">
        <v>63</v>
      </c>
      <c r="B64" s="2" t="s">
        <v>16</v>
      </c>
      <c r="C64" s="2" t="s">
        <v>13</v>
      </c>
      <c r="D64" s="2" t="n">
        <f aca="false">'MASSIVE  25A'!C6</f>
        <v>195</v>
      </c>
      <c r="E64" s="2" t="str">
        <f aca="false">'MASSIVE  25A'!B6</f>
        <v>Tanvir Hsosen</v>
      </c>
      <c r="F64" s="2" t="n">
        <f aca="false">'MASSIVE  25A'!D6</f>
        <v>1407713344</v>
      </c>
      <c r="G64" s="2" t="n">
        <f aca="false">'MASSIVE  25A'!E6</f>
        <v>1742566344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</row>
    <row r="65" customFormat="false" ht="15" hidden="false" customHeight="false" outlineLevel="0" collapsed="false">
      <c r="A65" s="2" t="n">
        <v>64</v>
      </c>
      <c r="B65" s="2" t="s">
        <v>16</v>
      </c>
      <c r="C65" s="2" t="s">
        <v>13</v>
      </c>
      <c r="D65" s="2" t="n">
        <f aca="false">'MASSIVE  25A'!C7</f>
        <v>25109</v>
      </c>
      <c r="E65" s="2" t="str">
        <f aca="false">'MASSIVE  25A'!B7</f>
        <v>Golam Rabbi Akash</v>
      </c>
      <c r="F65" s="2" t="n">
        <f aca="false">'MASSIVE  25A'!D7</f>
        <v>1743606008</v>
      </c>
      <c r="G65" s="2" t="n">
        <f aca="false">'MASSIVE  25A'!E7</f>
        <v>1742566344</v>
      </c>
      <c r="H65" s="2" t="s">
        <v>14</v>
      </c>
      <c r="I65" s="2" t="s">
        <v>14</v>
      </c>
      <c r="J65" s="2" t="s">
        <v>14</v>
      </c>
      <c r="K65" s="2" t="s">
        <v>14</v>
      </c>
      <c r="L65" s="2" t="s">
        <v>14</v>
      </c>
    </row>
    <row r="66" customFormat="false" ht="15" hidden="false" customHeight="false" outlineLevel="0" collapsed="false">
      <c r="A66" s="2" t="n">
        <v>65</v>
      </c>
      <c r="B66" s="2" t="s">
        <v>16</v>
      </c>
      <c r="C66" s="2" t="s">
        <v>13</v>
      </c>
      <c r="D66" s="2" t="n">
        <f aca="false">'MASSIVE  25A'!C8</f>
        <v>197</v>
      </c>
      <c r="E66" s="2" t="str">
        <f aca="false">'MASSIVE  25A'!B8</f>
        <v>Md Miraj</v>
      </c>
      <c r="F66" s="2" t="n">
        <f aca="false">'MASSIVE  25A'!D8</f>
        <v>1611114494</v>
      </c>
      <c r="G66" s="2" t="n">
        <f aca="false">'MASSIVE  25A'!E8</f>
        <v>1978488787</v>
      </c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</row>
    <row r="67" customFormat="false" ht="15" hidden="false" customHeight="false" outlineLevel="0" collapsed="false">
      <c r="A67" s="2" t="n">
        <v>66</v>
      </c>
      <c r="B67" s="2" t="s">
        <v>16</v>
      </c>
      <c r="C67" s="2" t="s">
        <v>13</v>
      </c>
      <c r="D67" s="2" t="n">
        <f aca="false">'MASSIVE  25A'!C9</f>
        <v>194</v>
      </c>
      <c r="E67" s="2" t="str">
        <f aca="false">'MASSIVE  25A'!B9</f>
        <v>Nasrin Akter Lima</v>
      </c>
      <c r="F67" s="2" t="n">
        <f aca="false">'MASSIVE  25A'!D9</f>
        <v>1841827218</v>
      </c>
      <c r="G67" s="2" t="n">
        <f aca="false">'MASSIVE  25A'!E9</f>
        <v>1712727217</v>
      </c>
      <c r="H67" s="2" t="s">
        <v>14</v>
      </c>
      <c r="I67" s="2" t="s">
        <v>14</v>
      </c>
      <c r="J67" s="2" t="s">
        <v>14</v>
      </c>
      <c r="K67" s="2" t="s">
        <v>14</v>
      </c>
      <c r="L67" s="2" t="s">
        <v>14</v>
      </c>
    </row>
    <row r="68" customFormat="false" ht="15" hidden="false" customHeight="false" outlineLevel="0" collapsed="false">
      <c r="A68" s="2" t="n">
        <v>67</v>
      </c>
      <c r="B68" s="2" t="s">
        <v>17</v>
      </c>
      <c r="C68" s="2" t="s">
        <v>13</v>
      </c>
      <c r="D68" s="2" t="n">
        <f aca="false">'MASSIVE 25B'!C4</f>
        <v>214</v>
      </c>
      <c r="E68" s="2" t="str">
        <f aca="false">'MASSIVE 25B'!B4</f>
        <v>Jubaer Abdullah Saad</v>
      </c>
      <c r="F68" s="2" t="n">
        <f aca="false">'MASSIVE 25B'!D4</f>
        <v>1792252125</v>
      </c>
      <c r="G68" s="2" t="n">
        <f aca="false">'MASSIVE 25B'!E4</f>
        <v>1914197796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</row>
    <row r="69" customFormat="false" ht="15" hidden="false" customHeight="false" outlineLevel="0" collapsed="false">
      <c r="A69" s="2" t="n">
        <v>68</v>
      </c>
      <c r="B69" s="2" t="s">
        <v>17</v>
      </c>
      <c r="C69" s="2" t="s">
        <v>13</v>
      </c>
      <c r="D69" s="2" t="n">
        <f aca="false">'MASSIVE 25B'!C5</f>
        <v>213</v>
      </c>
      <c r="E69" s="2" t="str">
        <f aca="false">'MASSIVE 25B'!B5</f>
        <v>Shahriara Abdullah Shihab </v>
      </c>
      <c r="F69" s="2" t="n">
        <f aca="false">'MASSIVE 25B'!D5</f>
        <v>1707764197</v>
      </c>
      <c r="G69" s="2" t="n">
        <f aca="false">'MASSIVE 25B'!E5</f>
        <v>1914197796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</row>
    <row r="70" customFormat="false" ht="15" hidden="false" customHeight="false" outlineLevel="0" collapsed="false">
      <c r="A70" s="2" t="n">
        <v>69</v>
      </c>
      <c r="B70" s="2" t="s">
        <v>17</v>
      </c>
      <c r="C70" s="2" t="s">
        <v>13</v>
      </c>
      <c r="D70" s="2" t="n">
        <f aca="false">'MASSIVE 25B'!C6</f>
        <v>211</v>
      </c>
      <c r="E70" s="2" t="str">
        <f aca="false">'MASSIVE 25B'!B6</f>
        <v>Hasibul Hasan Hasib</v>
      </c>
      <c r="F70" s="2" t="n">
        <f aca="false">'MASSIVE 25B'!D6</f>
        <v>1997735946</v>
      </c>
      <c r="G70" s="2" t="n">
        <f aca="false">'MASSIVE 25B'!E6</f>
        <v>1719050659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</row>
    <row r="71" customFormat="false" ht="15" hidden="false" customHeight="false" outlineLevel="0" collapsed="false">
      <c r="A71" s="2" t="n">
        <v>70</v>
      </c>
      <c r="B71" s="2" t="s">
        <v>17</v>
      </c>
      <c r="C71" s="2" t="s">
        <v>13</v>
      </c>
      <c r="D71" s="2" t="n">
        <f aca="false">'MASSIVE 25B'!C7</f>
        <v>210</v>
      </c>
      <c r="E71" s="2" t="str">
        <f aca="false">'MASSIVE 25B'!B7</f>
        <v>Riyad Khandaker</v>
      </c>
      <c r="F71" s="2" t="n">
        <f aca="false">'MASSIVE 25B'!D7</f>
        <v>1639440531</v>
      </c>
      <c r="G71" s="2" t="n">
        <f aca="false">'MASSIVE 25B'!E7</f>
        <v>1837458138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</row>
    <row r="72" customFormat="false" ht="15" hidden="false" customHeight="false" outlineLevel="0" collapsed="false">
      <c r="A72" s="2" t="n">
        <v>71</v>
      </c>
      <c r="B72" s="2" t="s">
        <v>17</v>
      </c>
      <c r="C72" s="2" t="s">
        <v>13</v>
      </c>
      <c r="D72" s="2" t="n">
        <f aca="false">'MASSIVE 25B'!C8</f>
        <v>208</v>
      </c>
      <c r="E72" s="2" t="str">
        <f aca="false">'MASSIVE 25B'!B8</f>
        <v>Shagor Mondol</v>
      </c>
      <c r="F72" s="2" t="n">
        <f aca="false">'MASSIVE 25B'!D8</f>
        <v>1884338224</v>
      </c>
      <c r="G72" s="2" t="n">
        <f aca="false">'MASSIVE 25B'!E8</f>
        <v>0</v>
      </c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14</v>
      </c>
    </row>
    <row r="73" customFormat="false" ht="15" hidden="false" customHeight="false" outlineLevel="0" collapsed="false">
      <c r="A73" s="2" t="n">
        <v>72</v>
      </c>
      <c r="B73" s="2" t="s">
        <v>17</v>
      </c>
      <c r="C73" s="2" t="s">
        <v>13</v>
      </c>
      <c r="D73" s="2" t="n">
        <f aca="false">'MASSIVE 25B'!C9</f>
        <v>199</v>
      </c>
      <c r="E73" s="2" t="str">
        <f aca="false">'MASSIVE 25B'!B9</f>
        <v>Tamim Visty</v>
      </c>
      <c r="F73" s="2" t="n">
        <f aca="false">'MASSIVE 25B'!D9</f>
        <v>1810514924</v>
      </c>
      <c r="G73" s="2" t="n">
        <f aca="false">'MASSIVE 25B'!E9</f>
        <v>1408698780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</row>
    <row r="74" customFormat="false" ht="15" hidden="false" customHeight="false" outlineLevel="0" collapsed="false">
      <c r="A74" s="2" t="n">
        <v>73</v>
      </c>
      <c r="B74" s="2" t="s">
        <v>17</v>
      </c>
      <c r="C74" s="2" t="s">
        <v>13</v>
      </c>
      <c r="D74" s="2" t="n">
        <f aca="false">'MASSIVE 25B'!C10</f>
        <v>198</v>
      </c>
      <c r="E74" s="2" t="str">
        <f aca="false">'MASSIVE 25B'!B10</f>
        <v>Md. Azizul Hakim</v>
      </c>
      <c r="F74" s="2" t="n">
        <f aca="false">'MASSIVE 25B'!D10</f>
        <v>1772847587</v>
      </c>
      <c r="G74" s="2" t="n">
        <f aca="false">'MASSIVE 25B'!E10</f>
        <v>1761741406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</row>
    <row r="75" customFormat="false" ht="15" hidden="false" customHeight="false" outlineLevel="0" collapsed="false">
      <c r="A75" s="2" t="n">
        <v>74</v>
      </c>
      <c r="B75" s="2" t="s">
        <v>17</v>
      </c>
      <c r="C75" s="2" t="s">
        <v>13</v>
      </c>
      <c r="D75" s="2" t="n">
        <f aca="false">'MASSIVE 25B'!C11</f>
        <v>226</v>
      </c>
      <c r="E75" s="2" t="str">
        <f aca="false">'MASSIVE 25B'!B11</f>
        <v>Abdullah</v>
      </c>
      <c r="F75" s="2" t="n">
        <f aca="false">'MASSIVE 25B'!D11</f>
        <v>1893797917</v>
      </c>
      <c r="G75" s="2" t="n">
        <f aca="false">'MASSIVE 25B'!E11</f>
        <v>1793797917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</row>
    <row r="76" customFormat="false" ht="15" hidden="false" customHeight="false" outlineLevel="0" collapsed="false">
      <c r="A76" s="2" t="n">
        <v>75</v>
      </c>
      <c r="B76" s="2" t="s">
        <v>18</v>
      </c>
      <c r="C76" s="2" t="s">
        <v>13</v>
      </c>
      <c r="D76" s="2" t="n">
        <f aca="false">'MASSIVE 25C'!C4</f>
        <v>25103</v>
      </c>
      <c r="E76" s="2" t="str">
        <f aca="false">'MASSIVE 25C'!B4</f>
        <v>Md Zehadur Rahman</v>
      </c>
      <c r="F76" s="2" t="str">
        <f aca="false">'MASSIVE 25C'!D4</f>
        <v>01676-099009</v>
      </c>
      <c r="G76" s="2" t="str">
        <f aca="false">'MASSIVE 25C'!E4</f>
        <v>01735-120196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</row>
    <row r="77" customFormat="false" ht="15" hidden="false" customHeight="false" outlineLevel="0" collapsed="false">
      <c r="A77" s="2" t="n">
        <v>76</v>
      </c>
      <c r="B77" s="2" t="s">
        <v>18</v>
      </c>
      <c r="C77" s="2" t="s">
        <v>13</v>
      </c>
      <c r="D77" s="2" t="n">
        <f aca="false">'MASSIVE 25C'!C5</f>
        <v>25106</v>
      </c>
      <c r="E77" s="2" t="str">
        <f aca="false">'MASSIVE 25C'!B5</f>
        <v>Md.Yeasin </v>
      </c>
      <c r="F77" s="2" t="str">
        <f aca="false">'MASSIVE 25C'!D5</f>
        <v>01874-783398</v>
      </c>
      <c r="G77" s="2" t="str">
        <f aca="false">'MASSIVE 25C'!E5</f>
        <v>0130-4366941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</row>
    <row r="78" customFormat="false" ht="15" hidden="false" customHeight="false" outlineLevel="0" collapsed="false">
      <c r="A78" s="2" t="n">
        <v>77</v>
      </c>
      <c r="B78" s="2" t="s">
        <v>18</v>
      </c>
      <c r="C78" s="2" t="s">
        <v>13</v>
      </c>
      <c r="D78" s="2" t="n">
        <f aca="false">'MASSIVE 25C'!C6</f>
        <v>25113</v>
      </c>
      <c r="E78" s="2" t="str">
        <f aca="false">'MASSIVE 25C'!B6</f>
        <v>Tahamida Islam</v>
      </c>
      <c r="F78" s="2" t="str">
        <f aca="false">'MASSIVE 25C'!D6</f>
        <v>01992-302780</v>
      </c>
      <c r="G78" s="2" t="str">
        <f aca="false">'MASSIVE 25C'!E6</f>
        <v>01715-711748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</row>
    <row r="79" customFormat="false" ht="15" hidden="false" customHeight="false" outlineLevel="0" collapsed="false">
      <c r="A79" s="2" t="n">
        <v>78</v>
      </c>
      <c r="B79" s="2" t="s">
        <v>18</v>
      </c>
      <c r="C79" s="2" t="s">
        <v>13</v>
      </c>
      <c r="D79" s="2" t="n">
        <f aca="false">'MASSIVE 25C'!C7</f>
        <v>25114</v>
      </c>
      <c r="E79" s="2" t="str">
        <f aca="false">'MASSIVE 25C'!B7</f>
        <v>Sohanur Rahman Sohag</v>
      </c>
      <c r="F79" s="2" t="str">
        <f aca="false">'MASSIVE 25C'!D7</f>
        <v>01571-028361</v>
      </c>
      <c r="G79" s="2" t="str">
        <f aca="false">'MASSIVE 25C'!E7</f>
        <v>01874-310361</v>
      </c>
      <c r="H79" s="2" t="s">
        <v>14</v>
      </c>
      <c r="I79" s="2" t="s">
        <v>14</v>
      </c>
      <c r="J79" s="2" t="s">
        <v>14</v>
      </c>
      <c r="K79" s="2" t="s">
        <v>14</v>
      </c>
      <c r="L79" s="2" t="s">
        <v>14</v>
      </c>
    </row>
    <row r="80" customFormat="false" ht="15" hidden="false" customHeight="false" outlineLevel="0" collapsed="false">
      <c r="A80" s="2" t="n">
        <v>79</v>
      </c>
      <c r="B80" s="2" t="s">
        <v>18</v>
      </c>
      <c r="C80" s="2" t="s">
        <v>13</v>
      </c>
      <c r="D80" s="2" t="n">
        <f aca="false">'MASSIVE 25C'!C8</f>
        <v>25115</v>
      </c>
      <c r="E80" s="2" t="str">
        <f aca="false">'MASSIVE 25C'!B8</f>
        <v>Minhajul Abedin Sihab</v>
      </c>
      <c r="F80" s="2" t="str">
        <f aca="false">'MASSIVE 25C'!D8</f>
        <v>01310-561280</v>
      </c>
      <c r="G80" s="2" t="str">
        <f aca="false">'MASSIVE 25C'!E8</f>
        <v>01720-677381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</row>
    <row r="81" customFormat="false" ht="15" hidden="false" customHeight="false" outlineLevel="0" collapsed="false">
      <c r="A81" s="2" t="n">
        <v>80</v>
      </c>
      <c r="B81" s="2" t="s">
        <v>18</v>
      </c>
      <c r="C81" s="2" t="s">
        <v>13</v>
      </c>
      <c r="D81" s="2" t="n">
        <f aca="false">'MASSIVE 25C'!C9</f>
        <v>143</v>
      </c>
      <c r="E81" s="2" t="str">
        <f aca="false">'MASSIVE 25C'!B9</f>
        <v>Afroza Akter Ria</v>
      </c>
      <c r="F81" s="2" t="str">
        <f aca="false">'MASSIVE 25C'!D9</f>
        <v>01757-501979</v>
      </c>
      <c r="G81" s="2" t="str">
        <f aca="false">'MASSIVE 25C'!E9</f>
        <v>01711-248541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</row>
    <row r="82" customFormat="false" ht="15" hidden="false" customHeight="false" outlineLevel="0" collapsed="false">
      <c r="A82" s="2" t="n">
        <v>81</v>
      </c>
      <c r="B82" s="2" t="s">
        <v>18</v>
      </c>
      <c r="C82" s="2" t="s">
        <v>13</v>
      </c>
      <c r="D82" s="2" t="n">
        <f aca="false">'MASSIVE 25C'!C10</f>
        <v>25140</v>
      </c>
      <c r="E82" s="2" t="str">
        <f aca="false">'MASSIVE 25C'!B10</f>
        <v>Mahinur Ahmed</v>
      </c>
      <c r="F82" s="2" t="str">
        <f aca="false">'MASSIVE 25C'!D10</f>
        <v>01903-557838</v>
      </c>
      <c r="G82" s="2" t="str">
        <f aca="false">'MASSIVE 25C'!E10</f>
        <v>01755-593815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</row>
    <row r="83" customFormat="false" ht="15" hidden="false" customHeight="false" outlineLevel="0" collapsed="false">
      <c r="A83" s="2" t="n">
        <v>82</v>
      </c>
      <c r="B83" s="2" t="s">
        <v>18</v>
      </c>
      <c r="C83" s="2" t="s">
        <v>13</v>
      </c>
      <c r="D83" s="2" t="n">
        <f aca="false">'MASSIVE 25C'!C11</f>
        <v>0</v>
      </c>
      <c r="E83" s="2" t="str">
        <f aca="false">'MASSIVE 25C'!B11</f>
        <v>Tabassum Jidni Shoha</v>
      </c>
      <c r="F83" s="2" t="str">
        <f aca="false">'MASSIVE 25C'!D11</f>
        <v>01825-401806</v>
      </c>
      <c r="G83" s="2" t="str">
        <f aca="false">'MASSIVE 25C'!E11</f>
        <v>01825-340824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</row>
    <row r="84" customFormat="false" ht="15" hidden="false" customHeight="false" outlineLevel="0" collapsed="false">
      <c r="A84" s="2" t="n">
        <v>83</v>
      </c>
      <c r="B84" s="2" t="s">
        <v>18</v>
      </c>
      <c r="C84" s="2" t="s">
        <v>13</v>
      </c>
      <c r="D84" s="2" t="n">
        <f aca="false">'MASSIVE 25C'!C12</f>
        <v>25116</v>
      </c>
      <c r="E84" s="2" t="str">
        <f aca="false">'MASSIVE 25C'!B12</f>
        <v>Faeria Akter Eva</v>
      </c>
      <c r="F84" s="2" t="str">
        <f aca="false">'MASSIVE 25C'!D12</f>
        <v>01860-972133</v>
      </c>
      <c r="G84" s="2" t="str">
        <f aca="false">'MASSIVE 25C'!E12</f>
        <v>01857-308825</v>
      </c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</row>
    <row r="85" customFormat="false" ht="15" hidden="false" customHeight="false" outlineLevel="0" collapsed="false">
      <c r="A85" s="2" t="n">
        <v>84</v>
      </c>
      <c r="B85" s="2" t="s">
        <v>18</v>
      </c>
      <c r="C85" s="2" t="s">
        <v>13</v>
      </c>
      <c r="D85" s="2" t="n">
        <f aca="false">'MASSIVE 25C'!C13</f>
        <v>25155</v>
      </c>
      <c r="E85" s="2" t="str">
        <f aca="false">'MASSIVE 25C'!B13</f>
        <v>Tonmoy Mollik</v>
      </c>
      <c r="F85" s="2" t="str">
        <f aca="false">'MASSIVE 25C'!D13</f>
        <v>01856-666518</v>
      </c>
      <c r="G85" s="2" t="n">
        <f aca="false">'MASSIVE 25C'!E13</f>
        <v>0</v>
      </c>
      <c r="H85" s="2" t="s">
        <v>14</v>
      </c>
      <c r="I85" s="2" t="s">
        <v>14</v>
      </c>
      <c r="J85" s="2" t="s">
        <v>14</v>
      </c>
      <c r="K85" s="2" t="s">
        <v>14</v>
      </c>
      <c r="L85" s="2" t="s">
        <v>14</v>
      </c>
    </row>
    <row r="86" customFormat="false" ht="15" hidden="false" customHeight="false" outlineLevel="0" collapsed="false">
      <c r="A86" s="2" t="n">
        <v>85</v>
      </c>
      <c r="B86" s="2" t="s">
        <v>18</v>
      </c>
      <c r="C86" s="2" t="s">
        <v>13</v>
      </c>
      <c r="D86" s="2" t="n">
        <f aca="false">'MASSIVE 25C'!C14</f>
        <v>25130</v>
      </c>
      <c r="E86" s="2" t="str">
        <f aca="false">'MASSIVE 25C'!B14</f>
        <v>Md Omar Faruk</v>
      </c>
      <c r="F86" s="2" t="str">
        <f aca="false">'MASSIVE 25C'!D14</f>
        <v>01311-462754</v>
      </c>
      <c r="G86" s="2" t="n">
        <f aca="false">'MASSIVE 25C'!E14</f>
        <v>0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</row>
    <row r="87" customFormat="false" ht="15" hidden="false" customHeight="false" outlineLevel="0" collapsed="false">
      <c r="A87" s="2" t="n">
        <v>86</v>
      </c>
      <c r="B87" s="2" t="s">
        <v>18</v>
      </c>
      <c r="C87" s="2" t="s">
        <v>13</v>
      </c>
      <c r="D87" s="2" t="n">
        <f aca="false">'MASSIVE 25C'!C15</f>
        <v>211</v>
      </c>
      <c r="E87" s="2" t="str">
        <f aca="false">'MASSIVE 25C'!B15</f>
        <v>Hasibul Hasan Hasib</v>
      </c>
      <c r="F87" s="2" t="str">
        <f aca="false">'MASSIVE 25C'!D15</f>
        <v>01997-735946</v>
      </c>
      <c r="G87" s="2" t="str">
        <f aca="false">'MASSIVE 25C'!E15</f>
        <v>01719-050659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</row>
    <row r="88" customFormat="false" ht="15" hidden="false" customHeight="false" outlineLevel="0" collapsed="false">
      <c r="A88" s="2" t="n">
        <v>87</v>
      </c>
      <c r="B88" s="2" t="s">
        <v>18</v>
      </c>
      <c r="C88" s="2" t="s">
        <v>13</v>
      </c>
      <c r="D88" s="2" t="n">
        <f aca="false">'MASSIVE 25C'!C16</f>
        <v>173</v>
      </c>
      <c r="E88" s="2" t="str">
        <f aca="false">'MASSIVE 25C'!B16</f>
        <v>Niyaz Morshed</v>
      </c>
      <c r="F88" s="2" t="str">
        <f aca="false">'MASSIVE 25C'!D16</f>
        <v>01854-043818</v>
      </c>
      <c r="G88" s="2" t="str">
        <f aca="false">'MASSIVE 25C'!E16</f>
        <v>01816-335423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</row>
    <row r="89" customFormat="false" ht="15" hidden="false" customHeight="false" outlineLevel="0" collapsed="false">
      <c r="A89" s="2" t="n">
        <v>88</v>
      </c>
      <c r="B89" s="2" t="s">
        <v>18</v>
      </c>
      <c r="C89" s="2" t="s">
        <v>13</v>
      </c>
      <c r="D89" s="2" t="n">
        <f aca="false">'MASSIVE 25C'!C17</f>
        <v>0</v>
      </c>
      <c r="E89" s="2" t="str">
        <f aca="false">'MASSIVE 25C'!B17</f>
        <v>Yousuf</v>
      </c>
      <c r="F89" s="2" t="n">
        <f aca="false">'MASSIVE 25C'!D17</f>
        <v>0</v>
      </c>
      <c r="G89" s="2" t="n">
        <f aca="false">'MASSIVE 25C'!E17</f>
        <v>0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</row>
    <row r="90" customFormat="false" ht="15" hidden="false" customHeight="false" outlineLevel="0" collapsed="false">
      <c r="A90" s="2" t="n">
        <v>89</v>
      </c>
      <c r="B90" s="2" t="s">
        <v>18</v>
      </c>
      <c r="C90" s="2" t="s">
        <v>13</v>
      </c>
      <c r="D90" s="2" t="n">
        <f aca="false">'MASSIVE 25C'!C18</f>
        <v>0</v>
      </c>
      <c r="E90" s="2" t="str">
        <f aca="false">'MASSIVE 25C'!B18</f>
        <v>Riad</v>
      </c>
      <c r="F90" s="2" t="n">
        <f aca="false">'MASSIVE 25C'!D18</f>
        <v>0</v>
      </c>
      <c r="G90" s="2" t="n">
        <f aca="false">'MASSIVE 25C'!E18</f>
        <v>0</v>
      </c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14</v>
      </c>
    </row>
    <row r="91" customFormat="false" ht="15" hidden="false" customHeight="false" outlineLevel="0" collapsed="false">
      <c r="A91" s="2" t="n">
        <v>90</v>
      </c>
      <c r="B91" s="2" t="s">
        <v>18</v>
      </c>
      <c r="C91" s="2" t="s">
        <v>13</v>
      </c>
      <c r="D91" s="2" t="n">
        <f aca="false">'MASSIVE 25C'!C19</f>
        <v>25110</v>
      </c>
      <c r="E91" s="2" t="str">
        <f aca="false">'MASSIVE 25C'!B19</f>
        <v>Jarin Moni</v>
      </c>
      <c r="F91" s="2" t="str">
        <f aca="false">'MASSIVE 25C'!D19</f>
        <v>01792-480988</v>
      </c>
      <c r="G91" s="2" t="str">
        <f aca="false">'MASSIVE 25C'!E19</f>
        <v>01777-755327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14</v>
      </c>
    </row>
    <row r="92" customFormat="false" ht="15" hidden="false" customHeight="false" outlineLevel="0" collapsed="false">
      <c r="A92" s="2" t="n">
        <v>91</v>
      </c>
      <c r="B92" s="2" t="s">
        <v>18</v>
      </c>
      <c r="C92" s="2" t="s">
        <v>13</v>
      </c>
      <c r="D92" s="2" t="n">
        <f aca="false">'MASSIVE 25C'!C20</f>
        <v>0</v>
      </c>
      <c r="E92" s="2" t="str">
        <f aca="false">'MASSIVE 25C'!B20</f>
        <v>Zihad</v>
      </c>
      <c r="F92" s="2" t="n">
        <f aca="false">'MASSIVE 25C'!D20</f>
        <v>0</v>
      </c>
      <c r="G92" s="2" t="n">
        <f aca="false">'MASSIVE 25C'!E20</f>
        <v>0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14</v>
      </c>
    </row>
    <row r="93" customFormat="false" ht="15" hidden="false" customHeight="false" outlineLevel="0" collapsed="false">
      <c r="A93" s="2" t="n">
        <v>92</v>
      </c>
      <c r="B93" s="2" t="s">
        <v>18</v>
      </c>
      <c r="C93" s="2" t="s">
        <v>13</v>
      </c>
      <c r="D93" s="2" t="n">
        <f aca="false">'MASSIVE 25C'!C21</f>
        <v>0</v>
      </c>
      <c r="E93" s="2" t="str">
        <f aca="false">'MASSIVE 25C'!B21</f>
        <v>Sumu</v>
      </c>
      <c r="F93" s="2" t="n">
        <f aca="false">'MASSIVE 25C'!D21</f>
        <v>0</v>
      </c>
      <c r="G93" s="2" t="n">
        <f aca="false">'MASSIVE 25C'!E21</f>
        <v>0</v>
      </c>
      <c r="H93" s="2" t="s">
        <v>14</v>
      </c>
      <c r="I93" s="2" t="s">
        <v>14</v>
      </c>
      <c r="J93" s="2" t="s">
        <v>14</v>
      </c>
      <c r="K93" s="2" t="s">
        <v>14</v>
      </c>
      <c r="L93" s="2" t="s">
        <v>14</v>
      </c>
    </row>
    <row r="94" customFormat="false" ht="15" hidden="false" customHeight="false" outlineLevel="0" collapsed="false">
      <c r="A94" s="2" t="n">
        <v>93</v>
      </c>
      <c r="B94" s="2" t="s">
        <v>18</v>
      </c>
      <c r="C94" s="2" t="s">
        <v>13</v>
      </c>
      <c r="D94" s="2" t="n">
        <f aca="false">'MASSIVE 25C'!C22</f>
        <v>25104</v>
      </c>
      <c r="E94" s="2" t="str">
        <f aca="false">'MASSIVE 25C'!B22</f>
        <v>Chauty Akter</v>
      </c>
      <c r="F94" s="2" t="str">
        <f aca="false">'MASSIVE 25C'!D22</f>
        <v>01940-299971</v>
      </c>
      <c r="G94" s="2" t="str">
        <f aca="false">'MASSIVE 25C'!E22</f>
        <v>01937-077291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</row>
    <row r="95" customFormat="false" ht="15" hidden="false" customHeight="false" outlineLevel="0" collapsed="false">
      <c r="A95" s="2" t="n">
        <v>94</v>
      </c>
      <c r="B95" s="2" t="s">
        <v>18</v>
      </c>
      <c r="C95" s="2" t="s">
        <v>13</v>
      </c>
      <c r="D95" s="2" t="n">
        <f aca="false">'MASSIVE 25C'!C23</f>
        <v>25105</v>
      </c>
      <c r="E95" s="2" t="str">
        <f aca="false">'MASSIVE 25C'!B23</f>
        <v>Jony Jon Rozario</v>
      </c>
      <c r="F95" s="2" t="str">
        <f aca="false">'MASSIVE 25C'!D23</f>
        <v>01752-877522</v>
      </c>
      <c r="G95" s="2" t="str">
        <f aca="false">'MASSIVE 25C'!E23</f>
        <v>01941-308726</v>
      </c>
      <c r="H95" s="2" t="s">
        <v>14</v>
      </c>
      <c r="I95" s="2" t="s">
        <v>14</v>
      </c>
      <c r="J95" s="2" t="s">
        <v>14</v>
      </c>
      <c r="K95" s="2" t="s">
        <v>14</v>
      </c>
      <c r="L95" s="2" t="s">
        <v>14</v>
      </c>
    </row>
    <row r="96" customFormat="false" ht="15" hidden="false" customHeight="false" outlineLevel="0" collapsed="false">
      <c r="A96" s="2" t="n">
        <v>95</v>
      </c>
      <c r="B96" s="2" t="s">
        <v>18</v>
      </c>
      <c r="C96" s="2" t="s">
        <v>13</v>
      </c>
      <c r="D96" s="2" t="n">
        <f aca="false">'MASSIVE 25C'!C24</f>
        <v>25107</v>
      </c>
      <c r="E96" s="2" t="str">
        <f aca="false">'MASSIVE 25C'!B24</f>
        <v>Md Alamin Islam</v>
      </c>
      <c r="F96" s="2" t="str">
        <f aca="false">'MASSIVE 25C'!D24</f>
        <v>01932-784978</v>
      </c>
      <c r="G96" s="2" t="n">
        <f aca="false">'MASSIVE 25C'!E24</f>
        <v>0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14</v>
      </c>
    </row>
    <row r="97" customFormat="false" ht="15" hidden="false" customHeight="false" outlineLevel="0" collapsed="false">
      <c r="A97" s="2" t="n">
        <v>96</v>
      </c>
      <c r="B97" s="2" t="s">
        <v>18</v>
      </c>
      <c r="C97" s="2" t="s">
        <v>13</v>
      </c>
      <c r="D97" s="2" t="n">
        <f aca="false">'MASSIVE 25C'!C25</f>
        <v>25112</v>
      </c>
      <c r="E97" s="2" t="str">
        <f aca="false">'MASSIVE 25C'!B25</f>
        <v>Md Arif Hossain</v>
      </c>
      <c r="F97" s="2" t="n">
        <f aca="false">'MASSIVE 25C'!D25</f>
        <v>0</v>
      </c>
      <c r="G97" s="2" t="str">
        <f aca="false">'MASSIVE 25C'!E25</f>
        <v>01906-066894</v>
      </c>
      <c r="H97" s="2" t="s">
        <v>14</v>
      </c>
      <c r="I97" s="2" t="s">
        <v>14</v>
      </c>
      <c r="J97" s="2" t="s">
        <v>14</v>
      </c>
      <c r="K97" s="2" t="s">
        <v>14</v>
      </c>
      <c r="L97" s="2" t="s">
        <v>14</v>
      </c>
    </row>
    <row r="98" customFormat="false" ht="15" hidden="false" customHeight="false" outlineLevel="0" collapsed="false">
      <c r="A98" s="2" t="n">
        <v>97</v>
      </c>
      <c r="B98" s="2" t="s">
        <v>18</v>
      </c>
      <c r="C98" s="2" t="s">
        <v>13</v>
      </c>
      <c r="D98" s="2" t="n">
        <f aca="false">'MASSIVE 25C'!C26</f>
        <v>25139</v>
      </c>
      <c r="E98" s="2" t="str">
        <f aca="false">'MASSIVE 25C'!B26</f>
        <v>Shak Md Rahin</v>
      </c>
      <c r="F98" s="2" t="str">
        <f aca="false">'MASSIVE 25C'!D26</f>
        <v>01720-385466</v>
      </c>
      <c r="G98" s="2" t="str">
        <f aca="false">'MASSIVE 25C'!E26</f>
        <v>01944-436802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14</v>
      </c>
    </row>
    <row r="99" customFormat="false" ht="15" hidden="false" customHeight="false" outlineLevel="0" collapsed="false">
      <c r="A99" s="2" t="n">
        <v>98</v>
      </c>
      <c r="B99" s="2" t="s">
        <v>18</v>
      </c>
      <c r="C99" s="2" t="s">
        <v>13</v>
      </c>
      <c r="D99" s="2" t="n">
        <f aca="false">'MASSIVE 25C'!C27</f>
        <v>25108</v>
      </c>
      <c r="E99" s="2" t="str">
        <f aca="false">'MASSIVE 25C'!B27</f>
        <v>Md Arafat</v>
      </c>
      <c r="F99" s="2" t="str">
        <f aca="false">'MASSIVE 25C'!D27</f>
        <v>01642-584573</v>
      </c>
      <c r="G99" s="2" t="str">
        <f aca="false">'MASSIVE 25C'!E27</f>
        <v>01689-001606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14</v>
      </c>
    </row>
    <row r="100" customFormat="false" ht="15" hidden="false" customHeight="false" outlineLevel="0" collapsed="false">
      <c r="A100" s="2" t="n">
        <v>99</v>
      </c>
      <c r="B100" s="2" t="s">
        <v>18</v>
      </c>
      <c r="C100" s="2" t="s">
        <v>13</v>
      </c>
      <c r="D100" s="2" t="n">
        <f aca="false">'MASSIVE 25C'!C28</f>
        <v>25101</v>
      </c>
      <c r="E100" s="2" t="str">
        <f aca="false">'MASSIVE 25C'!B28</f>
        <v>Anamul Haque Anan</v>
      </c>
      <c r="F100" s="2" t="str">
        <f aca="false">'MASSIVE 25C'!D28</f>
        <v>01930-046355</v>
      </c>
      <c r="G100" s="2" t="str">
        <f aca="false">'MASSIVE 25C'!E28</f>
        <v>01922-093346</v>
      </c>
      <c r="H100" s="2" t="s">
        <v>14</v>
      </c>
      <c r="I100" s="2" t="s">
        <v>14</v>
      </c>
      <c r="J100" s="2" t="s">
        <v>14</v>
      </c>
      <c r="K100" s="2" t="s">
        <v>14</v>
      </c>
      <c r="L100" s="2" t="s">
        <v>14</v>
      </c>
    </row>
    <row r="101" customFormat="false" ht="15" hidden="false" customHeight="false" outlineLevel="0" collapsed="false">
      <c r="A101" s="2" t="n">
        <v>100</v>
      </c>
      <c r="B101" s="2" t="s">
        <v>18</v>
      </c>
      <c r="C101" s="2" t="s">
        <v>13</v>
      </c>
      <c r="D101" s="2" t="n">
        <f aca="false">'MASSIVE 25C'!C29</f>
        <v>25102</v>
      </c>
      <c r="E101" s="2" t="str">
        <f aca="false">'MASSIVE 25C'!B29</f>
        <v>Md Ali Hasan</v>
      </c>
      <c r="F101" s="2" t="str">
        <f aca="false">'MASSIVE 25C'!D29</f>
        <v>01997-644347</v>
      </c>
      <c r="G101" s="2" t="str">
        <f aca="false">'MASSIVE 25C'!E29</f>
        <v>01638-622424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14</v>
      </c>
    </row>
    <row r="102" customFormat="false" ht="15" hidden="false" customHeight="false" outlineLevel="0" collapsed="false">
      <c r="A102" s="2" t="n">
        <v>101</v>
      </c>
      <c r="B102" s="2" t="s">
        <v>19</v>
      </c>
      <c r="C102" s="2" t="s">
        <v>13</v>
      </c>
      <c r="D102" s="2" t="n">
        <f aca="false">'MASSIVE 25F সন্ধ্যাকালীন '!C4</f>
        <v>25127</v>
      </c>
      <c r="E102" s="2" t="str">
        <f aca="false">'MASSIVE 25F সন্ধ্যাকালীন '!B4</f>
        <v>RAYHAN KHAN</v>
      </c>
      <c r="F102" s="2" t="str">
        <f aca="false">'MASSIVE 25F সন্ধ্যাকালীন '!D4</f>
        <v>01973-679741</v>
      </c>
      <c r="G102" s="2" t="str">
        <f aca="false">'MASSIVE 25F সন্ধ্যাকালীন '!E4</f>
        <v>01758-490722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14</v>
      </c>
    </row>
    <row r="103" customFormat="false" ht="15" hidden="false" customHeight="false" outlineLevel="0" collapsed="false">
      <c r="A103" s="2" t="n">
        <v>102</v>
      </c>
      <c r="B103" s="2" t="s">
        <v>19</v>
      </c>
      <c r="C103" s="2" t="s">
        <v>13</v>
      </c>
      <c r="D103" s="2" t="n">
        <f aca="false">'MASSIVE 25F সন্ধ্যাকালীন '!C5</f>
        <v>25129</v>
      </c>
      <c r="E103" s="2" t="str">
        <f aca="false">'MASSIVE 25F সন্ধ্যাকালীন '!B5</f>
        <v>MD SIHAB</v>
      </c>
      <c r="F103" s="2" t="str">
        <f aca="false">'MASSIVE 25F সন্ধ্যাকালীন '!D5</f>
        <v>01316-316822</v>
      </c>
      <c r="G103" s="2" t="str">
        <f aca="false">'MASSIVE 25F সন্ধ্যাকালীন '!E5</f>
        <v>01724-818179</v>
      </c>
      <c r="H103" s="2" t="s">
        <v>14</v>
      </c>
      <c r="I103" s="2" t="s">
        <v>14</v>
      </c>
      <c r="J103" s="2" t="s">
        <v>14</v>
      </c>
      <c r="K103" s="2" t="s">
        <v>14</v>
      </c>
      <c r="L103" s="2" t="s">
        <v>14</v>
      </c>
    </row>
    <row r="104" customFormat="false" ht="15" hidden="false" customHeight="false" outlineLevel="0" collapsed="false">
      <c r="A104" s="2" t="n">
        <v>103</v>
      </c>
      <c r="B104" s="2" t="s">
        <v>19</v>
      </c>
      <c r="C104" s="2" t="s">
        <v>13</v>
      </c>
      <c r="D104" s="2" t="n">
        <f aca="false">'MASSIVE 25F সন্ধ্যাকালীন '!C6</f>
        <v>25131</v>
      </c>
      <c r="E104" s="2" t="str">
        <f aca="false">'MASSIVE 25F সন্ধ্যাকালীন '!B6</f>
        <v>MAHADI HASAN FARDIN</v>
      </c>
      <c r="F104" s="2" t="str">
        <f aca="false">'MASSIVE 25F সন্ধ্যাকালীন '!D6</f>
        <v>01622-788915</v>
      </c>
      <c r="G104" s="2" t="str">
        <f aca="false">'MASSIVE 25F সন্ধ্যাকালীন '!E6</f>
        <v>01622-788915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14</v>
      </c>
    </row>
    <row r="105" customFormat="false" ht="15" hidden="false" customHeight="false" outlineLevel="0" collapsed="false">
      <c r="A105" s="2" t="n">
        <v>104</v>
      </c>
      <c r="B105" s="2" t="s">
        <v>19</v>
      </c>
      <c r="C105" s="2" t="s">
        <v>13</v>
      </c>
      <c r="D105" s="2" t="n">
        <f aca="false">'MASSIVE 25F সন্ধ্যাকালীন '!C7</f>
        <v>25132</v>
      </c>
      <c r="E105" s="2" t="str">
        <f aca="false">'MASSIVE 25F সন্ধ্যাকালীন '!B7</f>
        <v>MD MAMUN HOSSAIN</v>
      </c>
      <c r="F105" s="2" t="str">
        <f aca="false">'MASSIVE 25F সন্ধ্যাকালীন '!D7</f>
        <v>01912-863688</v>
      </c>
      <c r="G105" s="2" t="n">
        <f aca="false">'MASSIVE 25F সন্ধ্যাকালীন '!E7</f>
        <v>0</v>
      </c>
      <c r="H105" s="2" t="s">
        <v>14</v>
      </c>
      <c r="I105" s="2" t="s">
        <v>14</v>
      </c>
      <c r="J105" s="2" t="s">
        <v>14</v>
      </c>
      <c r="K105" s="2" t="s">
        <v>14</v>
      </c>
      <c r="L105" s="2" t="s">
        <v>14</v>
      </c>
    </row>
    <row r="106" customFormat="false" ht="15" hidden="false" customHeight="false" outlineLevel="0" collapsed="false">
      <c r="A106" s="2" t="n">
        <v>105</v>
      </c>
      <c r="B106" s="2" t="s">
        <v>19</v>
      </c>
      <c r="C106" s="2" t="s">
        <v>13</v>
      </c>
      <c r="D106" s="2" t="n">
        <f aca="false">'MASSIVE 25F সন্ধ্যাকালীন '!C8</f>
        <v>25133</v>
      </c>
      <c r="E106" s="2" t="str">
        <f aca="false">'MASSIVE 25F সন্ধ্যাকালীন '!B8</f>
        <v>RAYHAN HOSSAIN</v>
      </c>
      <c r="F106" s="2" t="str">
        <f aca="false">'MASSIVE 25F সন্ধ্যাকালীন '!D8</f>
        <v>01840-504083</v>
      </c>
      <c r="G106" s="2" t="n">
        <f aca="false">'MASSIVE 25F সন্ধ্যাকালীন '!E8</f>
        <v>0</v>
      </c>
      <c r="H106" s="2" t="s">
        <v>14</v>
      </c>
      <c r="I106" s="2" t="s">
        <v>14</v>
      </c>
      <c r="J106" s="2" t="s">
        <v>14</v>
      </c>
      <c r="K106" s="2" t="s">
        <v>14</v>
      </c>
      <c r="L106" s="2" t="s">
        <v>14</v>
      </c>
    </row>
    <row r="107" customFormat="false" ht="15" hidden="false" customHeight="false" outlineLevel="0" collapsed="false">
      <c r="A107" s="2" t="n">
        <v>106</v>
      </c>
      <c r="B107" s="2" t="s">
        <v>19</v>
      </c>
      <c r="C107" s="2" t="s">
        <v>13</v>
      </c>
      <c r="D107" s="2" t="n">
        <f aca="false">'MASSIVE 25F সন্ধ্যাকালীন '!C9</f>
        <v>25134</v>
      </c>
      <c r="E107" s="2" t="str">
        <f aca="false">'MASSIVE 25F সন্ধ্যাকালীন '!B9</f>
        <v>MD TOPIBUL RAHMAN</v>
      </c>
      <c r="F107" s="2" t="str">
        <f aca="false">'MASSIVE 25F সন্ধ্যাকালীন '!D9</f>
        <v>01329-521365</v>
      </c>
      <c r="G107" s="2" t="str">
        <f aca="false">'MASSIVE 25F সন্ধ্যাকালীন '!E9</f>
        <v>01329-521365</v>
      </c>
      <c r="H107" s="2" t="s">
        <v>14</v>
      </c>
      <c r="I107" s="2" t="s">
        <v>14</v>
      </c>
      <c r="J107" s="2" t="s">
        <v>14</v>
      </c>
      <c r="K107" s="2" t="s">
        <v>14</v>
      </c>
      <c r="L107" s="2" t="s">
        <v>14</v>
      </c>
    </row>
    <row r="108" customFormat="false" ht="15" hidden="false" customHeight="false" outlineLevel="0" collapsed="false">
      <c r="A108" s="2" t="n">
        <v>107</v>
      </c>
      <c r="B108" s="2" t="s">
        <v>19</v>
      </c>
      <c r="C108" s="2" t="s">
        <v>13</v>
      </c>
      <c r="D108" s="2" t="n">
        <f aca="false">'MASSIVE 25F সন্ধ্যাকালীন '!C10</f>
        <v>25138</v>
      </c>
      <c r="E108" s="2" t="str">
        <f aca="false">'MASSIVE 25F সন্ধ্যাকালীন '!B10</f>
        <v>SOJOL CONDRO DAS</v>
      </c>
      <c r="F108" s="2" t="str">
        <f aca="false">'MASSIVE 25F সন্ধ্যাকালীন '!D10</f>
        <v>016411-45453</v>
      </c>
      <c r="G108" s="2" t="n">
        <f aca="false">'MASSIVE 25F সন্ধ্যাকালীন '!E10</f>
        <v>0</v>
      </c>
      <c r="H108" s="2" t="s">
        <v>14</v>
      </c>
      <c r="I108" s="2" t="s">
        <v>14</v>
      </c>
      <c r="J108" s="2" t="s">
        <v>14</v>
      </c>
      <c r="K108" s="2" t="s">
        <v>14</v>
      </c>
      <c r="L108" s="2" t="s">
        <v>14</v>
      </c>
    </row>
    <row r="109" customFormat="false" ht="15" hidden="false" customHeight="false" outlineLevel="0" collapsed="false">
      <c r="A109" s="2" t="n">
        <v>108</v>
      </c>
      <c r="B109" s="2" t="s">
        <v>19</v>
      </c>
      <c r="C109" s="2" t="s">
        <v>13</v>
      </c>
      <c r="D109" s="2" t="n">
        <f aca="false">'MASSIVE 25F সন্ধ্যাকালীন '!C11</f>
        <v>217</v>
      </c>
      <c r="E109" s="2" t="str">
        <f aca="false">'MASSIVE 25F সন্ধ্যাকালীন '!B11</f>
        <v>MD MAHABUB ELAHI</v>
      </c>
      <c r="F109" s="2" t="str">
        <f aca="false">'MASSIVE 25F সন্ধ্যাকালীন '!D11</f>
        <v>01301-696712</v>
      </c>
      <c r="G109" s="2" t="str">
        <f aca="false">'MASSIVE 25F সন্ধ্যাকালীন '!E11</f>
        <v>01715-302880</v>
      </c>
      <c r="H109" s="2" t="s">
        <v>14</v>
      </c>
      <c r="I109" s="2" t="s">
        <v>14</v>
      </c>
      <c r="J109" s="2" t="s">
        <v>14</v>
      </c>
      <c r="K109" s="2" t="s">
        <v>14</v>
      </c>
      <c r="L109" s="2" t="s">
        <v>14</v>
      </c>
    </row>
    <row r="110" customFormat="false" ht="15" hidden="false" customHeight="false" outlineLevel="0" collapsed="false">
      <c r="A110" s="2" t="n">
        <v>109</v>
      </c>
      <c r="B110" s="2" t="s">
        <v>19</v>
      </c>
      <c r="C110" s="2" t="s">
        <v>13</v>
      </c>
      <c r="D110" s="2" t="n">
        <f aca="false">'MASSIVE 25F সন্ধ্যাকালীন '!C12</f>
        <v>25141</v>
      </c>
      <c r="E110" s="2" t="str">
        <f aca="false">'MASSIVE 25F সন্ধ্যাকালীন '!B12</f>
        <v>HOSSAIN ALI</v>
      </c>
      <c r="F110" s="2" t="str">
        <f aca="false">'MASSIVE 25F সন্ধ্যাকালীন '!D12</f>
        <v>01673-958244</v>
      </c>
      <c r="G110" s="2" t="n">
        <f aca="false">'MASSIVE 25F সন্ধ্যাকালীন '!E12</f>
        <v>0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14</v>
      </c>
    </row>
    <row r="111" customFormat="false" ht="15" hidden="false" customHeight="false" outlineLevel="0" collapsed="false">
      <c r="A111" s="2" t="n">
        <v>110</v>
      </c>
      <c r="B111" s="2" t="s">
        <v>19</v>
      </c>
      <c r="C111" s="2" t="s">
        <v>13</v>
      </c>
      <c r="D111" s="2" t="n">
        <f aca="false">'MASSIVE 25F সন্ধ্যাকালীন '!C13</f>
        <v>25150</v>
      </c>
      <c r="E111" s="2" t="str">
        <f aca="false">'MASSIVE 25F সন্ধ্যাকালীন '!B13</f>
        <v>MD MIRAZ KHAN</v>
      </c>
      <c r="F111" s="2" t="str">
        <f aca="false">'MASSIVE 25F সন্ধ্যাকালীন '!D13</f>
        <v>01623-326052</v>
      </c>
      <c r="G111" s="2" t="n">
        <f aca="false">'MASSIVE 25F সন্ধ্যাকালীন '!E13</f>
        <v>0</v>
      </c>
      <c r="H111" s="2" t="s">
        <v>14</v>
      </c>
      <c r="I111" s="2" t="s">
        <v>14</v>
      </c>
      <c r="J111" s="2" t="s">
        <v>14</v>
      </c>
      <c r="K111" s="2" t="s">
        <v>14</v>
      </c>
      <c r="L111" s="2" t="s">
        <v>14</v>
      </c>
    </row>
    <row r="112" customFormat="false" ht="15" hidden="false" customHeight="false" outlineLevel="0" collapsed="false">
      <c r="A112" s="2" t="n">
        <v>111</v>
      </c>
      <c r="B112" s="2" t="s">
        <v>19</v>
      </c>
      <c r="C112" s="2" t="s">
        <v>13</v>
      </c>
      <c r="D112" s="2" t="n">
        <f aca="false">'MASSIVE 25F সন্ধ্যাকালীন '!C14</f>
        <v>25194</v>
      </c>
      <c r="E112" s="2" t="str">
        <f aca="false">'MASSIVE 25F সন্ধ্যাকালীন '!B14</f>
        <v>RIFAT HOSSAIN</v>
      </c>
      <c r="F112" s="2" t="str">
        <f aca="false">'MASSIVE 25F সন্ধ্যাকালীন '!D14</f>
        <v>01518-405331</v>
      </c>
      <c r="G112" s="2" t="str">
        <f aca="false">'MASSIVE 25F সন্ধ্যাকালীন '!E14</f>
        <v>01718-707710</v>
      </c>
      <c r="H112" s="2" t="s">
        <v>14</v>
      </c>
      <c r="I112" s="2" t="s">
        <v>14</v>
      </c>
      <c r="J112" s="2" t="s">
        <v>14</v>
      </c>
      <c r="K112" s="2" t="s">
        <v>14</v>
      </c>
      <c r="L112" s="2" t="s">
        <v>14</v>
      </c>
    </row>
    <row r="113" customFormat="false" ht="15" hidden="false" customHeight="false" outlineLevel="0" collapsed="false">
      <c r="A113" s="2" t="n">
        <v>112</v>
      </c>
      <c r="B113" s="2" t="s">
        <v>19</v>
      </c>
      <c r="C113" s="2" t="s">
        <v>13</v>
      </c>
      <c r="D113" s="2" t="n">
        <f aca="false">'MASSIVE 25F সন্ধ্যাকালীন '!C15</f>
        <v>25160</v>
      </c>
      <c r="E113" s="2" t="str">
        <f aca="false">'MASSIVE 25F সন্ধ্যাকালীন '!B15</f>
        <v>MD MIRAJ</v>
      </c>
      <c r="F113" s="2" t="str">
        <f aca="false">'MASSIVE 25F সন্ধ্যাকালীন '!D15</f>
        <v>01788-999180</v>
      </c>
      <c r="G113" s="2" t="str">
        <f aca="false">'MASSIVE 25F সন্ধ্যাকালীন '!E15</f>
        <v>01973-899180</v>
      </c>
      <c r="H113" s="2" t="s">
        <v>14</v>
      </c>
      <c r="I113" s="2" t="s">
        <v>14</v>
      </c>
      <c r="J113" s="2" t="s">
        <v>14</v>
      </c>
      <c r="K113" s="2" t="s">
        <v>14</v>
      </c>
      <c r="L113" s="2" t="s">
        <v>14</v>
      </c>
    </row>
    <row r="114" customFormat="false" ht="15" hidden="false" customHeight="false" outlineLevel="0" collapsed="false">
      <c r="A114" s="2" t="n">
        <v>113</v>
      </c>
      <c r="B114" s="2" t="s">
        <v>19</v>
      </c>
      <c r="C114" s="2" t="s">
        <v>13</v>
      </c>
      <c r="D114" s="2" t="n">
        <f aca="false">'MASSIVE 25F সন্ধ্যাকালীন '!C16</f>
        <v>25177</v>
      </c>
      <c r="E114" s="2" t="str">
        <f aca="false">'MASSIVE 25F সন্ধ্যাকালীন '!B16</f>
        <v>SULTAN AHMED</v>
      </c>
      <c r="F114" s="2" t="str">
        <f aca="false">'MASSIVE 25F সন্ধ্যাকালীন '!D16</f>
        <v>01918-692172</v>
      </c>
      <c r="G114" s="2" t="n">
        <f aca="false">'MASSIVE 25F সন্ধ্যাকালীন '!E16</f>
        <v>0</v>
      </c>
      <c r="H114" s="2" t="s">
        <v>14</v>
      </c>
      <c r="I114" s="2" t="s">
        <v>14</v>
      </c>
      <c r="J114" s="2" t="s">
        <v>14</v>
      </c>
      <c r="K114" s="2" t="s">
        <v>14</v>
      </c>
      <c r="L114" s="2" t="s">
        <v>14</v>
      </c>
    </row>
    <row r="115" customFormat="false" ht="15" hidden="false" customHeight="false" outlineLevel="0" collapsed="false">
      <c r="A115" s="2" t="n">
        <v>114</v>
      </c>
      <c r="B115" s="2" t="s">
        <v>19</v>
      </c>
      <c r="C115" s="2" t="s">
        <v>13</v>
      </c>
      <c r="D115" s="2" t="n">
        <f aca="false">'MASSIVE 25F সন্ধ্যাকালীন '!C17</f>
        <v>25185</v>
      </c>
      <c r="E115" s="2" t="str">
        <f aca="false">'MASSIVE 25F সন্ধ্যাকালীন '!B17</f>
        <v>ISHAQUE JAHAN SOIKAT </v>
      </c>
      <c r="F115" s="2" t="str">
        <f aca="false">'MASSIVE 25F সন্ধ্যাকালীন '!D17</f>
        <v>01629-802488</v>
      </c>
      <c r="G115" s="2" t="str">
        <f aca="false">'MASSIVE 25F সন্ধ্যাকালীন '!E17</f>
        <v>01830-938388</v>
      </c>
      <c r="H115" s="2" t="s">
        <v>14</v>
      </c>
      <c r="I115" s="2" t="s">
        <v>14</v>
      </c>
      <c r="J115" s="2" t="s">
        <v>14</v>
      </c>
      <c r="K115" s="2" t="s">
        <v>14</v>
      </c>
      <c r="L115" s="2" t="s">
        <v>14</v>
      </c>
    </row>
    <row r="116" customFormat="false" ht="15" hidden="false" customHeight="false" outlineLevel="0" collapsed="false">
      <c r="A116" s="2" t="n">
        <v>115</v>
      </c>
      <c r="B116" s="2" t="s">
        <v>20</v>
      </c>
      <c r="C116" s="2" t="s">
        <v>13</v>
      </c>
      <c r="D116" s="2" t="n">
        <f aca="false">'MASSIVE  25D'!C4</f>
        <v>219</v>
      </c>
      <c r="E116" s="2" t="str">
        <f aca="false">'MASSIVE  25D'!B4</f>
        <v>MD.ELIAS AKBOR </v>
      </c>
      <c r="F116" s="2" t="str">
        <f aca="false">'MASSIVE  25D'!D4</f>
        <v>01911-682069</v>
      </c>
      <c r="G116" s="2" t="n">
        <f aca="false">'MASSIVE  25D'!E4</f>
        <v>1676201013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14</v>
      </c>
    </row>
    <row r="117" customFormat="false" ht="15" hidden="false" customHeight="false" outlineLevel="0" collapsed="false">
      <c r="A117" s="2" t="n">
        <v>116</v>
      </c>
      <c r="B117" s="2" t="s">
        <v>20</v>
      </c>
      <c r="C117" s="2" t="s">
        <v>13</v>
      </c>
      <c r="D117" s="2" t="n">
        <f aca="false">'MASSIVE  25D'!C5</f>
        <v>218</v>
      </c>
      <c r="E117" s="2" t="str">
        <f aca="false">'MASSIVE  25D'!B5</f>
        <v>ABIR MAHAMUD</v>
      </c>
      <c r="F117" s="2" t="str">
        <f aca="false">'MASSIVE  25D'!D5</f>
        <v>01767-452555</v>
      </c>
      <c r="G117" s="2" t="n">
        <f aca="false">'MASSIVE  25D'!E5</f>
        <v>1767452555</v>
      </c>
      <c r="H117" s="2" t="s">
        <v>14</v>
      </c>
      <c r="I117" s="2" t="s">
        <v>14</v>
      </c>
      <c r="J117" s="2" t="s">
        <v>14</v>
      </c>
      <c r="K117" s="2" t="s">
        <v>14</v>
      </c>
      <c r="L117" s="2" t="s">
        <v>14</v>
      </c>
    </row>
    <row r="118" customFormat="false" ht="15" hidden="false" customHeight="false" outlineLevel="0" collapsed="false">
      <c r="A118" s="2" t="n">
        <v>117</v>
      </c>
      <c r="B118" s="2" t="s">
        <v>20</v>
      </c>
      <c r="C118" s="2" t="s">
        <v>13</v>
      </c>
      <c r="D118" s="2" t="n">
        <f aca="false">'MASSIVE  25D'!C6</f>
        <v>220</v>
      </c>
      <c r="E118" s="2" t="str">
        <f aca="false">'MASSIVE  25D'!B6</f>
        <v>MD.JUNAYED GONII</v>
      </c>
      <c r="F118" s="2" t="n">
        <f aca="false">'MASSIVE  25D'!D6</f>
        <v>1639141041</v>
      </c>
      <c r="G118" s="2" t="n">
        <f aca="false">'MASSIVE  25D'!E6</f>
        <v>0</v>
      </c>
      <c r="H118" s="2" t="s">
        <v>14</v>
      </c>
      <c r="I118" s="2" t="s">
        <v>14</v>
      </c>
      <c r="J118" s="2" t="s">
        <v>14</v>
      </c>
      <c r="K118" s="2" t="s">
        <v>14</v>
      </c>
      <c r="L118" s="2" t="s">
        <v>14</v>
      </c>
    </row>
    <row r="119" customFormat="false" ht="15" hidden="false" customHeight="false" outlineLevel="0" collapsed="false">
      <c r="A119" s="2" t="n">
        <v>118</v>
      </c>
      <c r="B119" s="2" t="s">
        <v>20</v>
      </c>
      <c r="C119" s="2" t="s">
        <v>13</v>
      </c>
      <c r="D119" s="2" t="n">
        <f aca="false">'MASSIVE  25D'!C7</f>
        <v>224</v>
      </c>
      <c r="E119" s="2" t="str">
        <f aca="false">'MASSIVE  25D'!B7</f>
        <v>MD. ASHIK</v>
      </c>
      <c r="F119" s="2" t="n">
        <f aca="false">'MASSIVE  25D'!D7</f>
        <v>1795533444</v>
      </c>
      <c r="G119" s="2" t="n">
        <f aca="false">'MASSIVE  25D'!E7</f>
        <v>0</v>
      </c>
      <c r="H119" s="2" t="s">
        <v>14</v>
      </c>
      <c r="I119" s="2" t="s">
        <v>14</v>
      </c>
      <c r="J119" s="2" t="s">
        <v>14</v>
      </c>
      <c r="K119" s="2" t="s">
        <v>14</v>
      </c>
      <c r="L119" s="2" t="s">
        <v>14</v>
      </c>
    </row>
    <row r="120" customFormat="false" ht="15" hidden="false" customHeight="false" outlineLevel="0" collapsed="false">
      <c r="A120" s="2" t="n">
        <v>119</v>
      </c>
      <c r="B120" s="2" t="s">
        <v>20</v>
      </c>
      <c r="C120" s="2" t="s">
        <v>13</v>
      </c>
      <c r="D120" s="2" t="n">
        <f aca="false">'MASSIVE  25D'!C8</f>
        <v>221</v>
      </c>
      <c r="E120" s="2" t="str">
        <f aca="false">'MASSIVE  25D'!B8</f>
        <v>MD.ASADOZZAMAN SADIR </v>
      </c>
      <c r="F120" s="2" t="n">
        <f aca="false">'MASSIVE  25D'!D8</f>
        <v>1614935456</v>
      </c>
      <c r="G120" s="2" t="n">
        <f aca="false">'MASSIVE  25D'!E8</f>
        <v>1765834473</v>
      </c>
      <c r="H120" s="2" t="s">
        <v>14</v>
      </c>
      <c r="I120" s="2" t="s">
        <v>14</v>
      </c>
      <c r="J120" s="2" t="s">
        <v>14</v>
      </c>
      <c r="K120" s="2" t="s">
        <v>14</v>
      </c>
      <c r="L120" s="2" t="s">
        <v>14</v>
      </c>
    </row>
    <row r="121" customFormat="false" ht="15" hidden="false" customHeight="false" outlineLevel="0" collapsed="false">
      <c r="A121" s="2" t="n">
        <v>120</v>
      </c>
      <c r="B121" s="2" t="s">
        <v>20</v>
      </c>
      <c r="C121" s="2" t="s">
        <v>13</v>
      </c>
      <c r="D121" s="2" t="n">
        <f aca="false">'MASSIVE  25D'!C9</f>
        <v>222</v>
      </c>
      <c r="E121" s="2" t="str">
        <f aca="false">'MASSIVE  25D'!B9</f>
        <v>NAHID</v>
      </c>
      <c r="F121" s="2" t="n">
        <f aca="false">'MASSIVE  25D'!D9</f>
        <v>1906959935</v>
      </c>
      <c r="G121" s="2" t="n">
        <f aca="false">'MASSIVE  25D'!E9</f>
        <v>0</v>
      </c>
      <c r="H121" s="2" t="s">
        <v>14</v>
      </c>
      <c r="I121" s="2" t="s">
        <v>14</v>
      </c>
      <c r="J121" s="2" t="s">
        <v>14</v>
      </c>
      <c r="K121" s="2" t="s">
        <v>14</v>
      </c>
      <c r="L121" s="2" t="s">
        <v>14</v>
      </c>
    </row>
    <row r="122" customFormat="false" ht="15" hidden="false" customHeight="false" outlineLevel="0" collapsed="false">
      <c r="A122" s="2" t="n">
        <v>121</v>
      </c>
      <c r="B122" s="2" t="s">
        <v>20</v>
      </c>
      <c r="C122" s="2" t="s">
        <v>13</v>
      </c>
      <c r="D122" s="2" t="n">
        <f aca="false">'MASSIVE  25D'!C10</f>
        <v>225</v>
      </c>
      <c r="E122" s="2" t="str">
        <f aca="false">'MASSIVE  25D'!B10</f>
        <v>MD BADRUL ALOM SORON</v>
      </c>
      <c r="F122" s="2" t="n">
        <f aca="false">'MASSIVE  25D'!D10</f>
        <v>1681232525</v>
      </c>
      <c r="G122" s="2" t="n">
        <f aca="false">'MASSIVE  25D'!E10</f>
        <v>0</v>
      </c>
      <c r="H122" s="2" t="s">
        <v>14</v>
      </c>
      <c r="I122" s="2" t="s">
        <v>14</v>
      </c>
      <c r="J122" s="2" t="s">
        <v>14</v>
      </c>
      <c r="K122" s="2" t="s">
        <v>14</v>
      </c>
      <c r="L122" s="2" t="s">
        <v>14</v>
      </c>
    </row>
    <row r="123" customFormat="false" ht="15" hidden="false" customHeight="false" outlineLevel="0" collapsed="false">
      <c r="A123" s="2" t="n">
        <v>122</v>
      </c>
      <c r="B123" s="2" t="s">
        <v>20</v>
      </c>
      <c r="C123" s="2" t="s">
        <v>13</v>
      </c>
      <c r="D123" s="2" t="n">
        <f aca="false">'MASSIVE  25D'!C11</f>
        <v>235</v>
      </c>
      <c r="E123" s="2" t="str">
        <f aca="false">'MASSIVE  25D'!B11</f>
        <v>LAMIA AKTER MIM</v>
      </c>
      <c r="F123" s="2" t="str">
        <f aca="false">'MASSIVE  25D'!D11</f>
        <v>01979-109557</v>
      </c>
      <c r="G123" s="2" t="n">
        <f aca="false">'MASSIVE  25D'!E11</f>
        <v>0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14</v>
      </c>
    </row>
    <row r="124" customFormat="false" ht="15" hidden="false" customHeight="false" outlineLevel="0" collapsed="false">
      <c r="A124" s="2" t="n">
        <v>123</v>
      </c>
      <c r="B124" s="2" t="s">
        <v>20</v>
      </c>
      <c r="C124" s="2" t="s">
        <v>13</v>
      </c>
      <c r="D124" s="2" t="n">
        <f aca="false">'MASSIVE  25D'!C12</f>
        <v>230</v>
      </c>
      <c r="E124" s="2" t="str">
        <f aca="false">'MASSIVE  25D'!B12</f>
        <v>RIFAT HASAN</v>
      </c>
      <c r="F124" s="2" t="str">
        <f aca="false">'MASSIVE  25D'!D12</f>
        <v>01537-552123</v>
      </c>
      <c r="G124" s="2" t="str">
        <f aca="false">'MASSIVE  25D'!E12</f>
        <v>01540-781588</v>
      </c>
      <c r="H124" s="2" t="s">
        <v>14</v>
      </c>
      <c r="I124" s="2" t="s">
        <v>14</v>
      </c>
      <c r="J124" s="2" t="s">
        <v>14</v>
      </c>
      <c r="K124" s="2" t="s">
        <v>14</v>
      </c>
      <c r="L124" s="2" t="s">
        <v>14</v>
      </c>
    </row>
    <row r="125" customFormat="false" ht="15" hidden="false" customHeight="false" outlineLevel="0" collapsed="false">
      <c r="A125" s="2" t="n">
        <v>124</v>
      </c>
      <c r="B125" s="2" t="s">
        <v>20</v>
      </c>
      <c r="C125" s="2" t="s">
        <v>13</v>
      </c>
      <c r="D125" s="2" t="n">
        <f aca="false">'MASSIVE  25D'!C13</f>
        <v>223</v>
      </c>
      <c r="E125" s="2" t="str">
        <f aca="false">'MASSIVE  25D'!B13</f>
        <v>MD.IKHTIYAR HOSEN</v>
      </c>
      <c r="F125" s="2" t="str">
        <f aca="false">'MASSIVE  25D'!D13</f>
        <v>01609-731308</v>
      </c>
      <c r="G125" s="2" t="n">
        <f aca="false">'MASSIVE  25D'!E13</f>
        <v>0</v>
      </c>
      <c r="H125" s="2" t="s">
        <v>14</v>
      </c>
      <c r="I125" s="2" t="s">
        <v>14</v>
      </c>
      <c r="J125" s="2" t="s">
        <v>14</v>
      </c>
      <c r="K125" s="2" t="s">
        <v>14</v>
      </c>
      <c r="L125" s="2" t="s">
        <v>14</v>
      </c>
    </row>
    <row r="126" customFormat="false" ht="15" hidden="false" customHeight="false" outlineLevel="0" collapsed="false">
      <c r="A126" s="2" t="n">
        <v>125</v>
      </c>
      <c r="B126" s="2" t="s">
        <v>21</v>
      </c>
      <c r="C126" s="2" t="s">
        <v>13</v>
      </c>
      <c r="D126" s="2" t="n">
        <f aca="false">'MASSIVE 25E'!C4</f>
        <v>25117</v>
      </c>
      <c r="E126" s="2" t="str">
        <f aca="false">'MASSIVE 25E'!B4</f>
        <v>MD MUFIDUL ISLAM NILOY</v>
      </c>
      <c r="F126" s="2" t="str">
        <f aca="false">'MASSIVE 25E'!D4</f>
        <v>01886-320981</v>
      </c>
      <c r="G126" s="2" t="str">
        <f aca="false">'MASSIVE 25E'!E4</f>
        <v>01681-010533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14</v>
      </c>
    </row>
    <row r="127" customFormat="false" ht="15" hidden="false" customHeight="false" outlineLevel="0" collapsed="false">
      <c r="A127" s="2" t="n">
        <v>126</v>
      </c>
      <c r="B127" s="2" t="s">
        <v>21</v>
      </c>
      <c r="C127" s="2" t="s">
        <v>13</v>
      </c>
      <c r="D127" s="2" t="n">
        <f aca="false">'MASSIVE 25E'!C5</f>
        <v>25118</v>
      </c>
      <c r="E127" s="2" t="str">
        <f aca="false">'MASSIVE 25E'!B5</f>
        <v>MD MONTASIR RAHMAN</v>
      </c>
      <c r="F127" s="2" t="str">
        <f aca="false">'MASSIVE 25E'!D5</f>
        <v>01828-976616</v>
      </c>
      <c r="G127" s="2" t="str">
        <f aca="false">'MASSIVE 25E'!E5</f>
        <v>01759-129011</v>
      </c>
      <c r="H127" s="2" t="s">
        <v>14</v>
      </c>
      <c r="I127" s="2" t="s">
        <v>14</v>
      </c>
      <c r="J127" s="2" t="s">
        <v>14</v>
      </c>
      <c r="K127" s="2" t="s">
        <v>14</v>
      </c>
      <c r="L127" s="2" t="s">
        <v>14</v>
      </c>
    </row>
    <row r="128" customFormat="false" ht="15" hidden="false" customHeight="false" outlineLevel="0" collapsed="false">
      <c r="A128" s="2" t="n">
        <v>127</v>
      </c>
      <c r="B128" s="2" t="s">
        <v>21</v>
      </c>
      <c r="C128" s="2" t="s">
        <v>13</v>
      </c>
      <c r="D128" s="2" t="n">
        <f aca="false">'MASSIVE 25E'!C6</f>
        <v>230</v>
      </c>
      <c r="E128" s="2" t="str">
        <f aca="false">'MASSIVE 25E'!B6</f>
        <v>RIFAT HASAN</v>
      </c>
      <c r="F128" s="2" t="str">
        <f aca="false">'MASSIVE 25E'!D6</f>
        <v>01537-552123</v>
      </c>
      <c r="G128" s="2" t="str">
        <f aca="false">'MASSIVE 25E'!E6</f>
        <v>01540-781588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14</v>
      </c>
    </row>
    <row r="129" customFormat="false" ht="15" hidden="false" customHeight="false" outlineLevel="0" collapsed="false">
      <c r="A129" s="2" t="n">
        <v>128</v>
      </c>
      <c r="B129" s="2" t="s">
        <v>21</v>
      </c>
      <c r="C129" s="2" t="s">
        <v>13</v>
      </c>
      <c r="D129" s="2" t="n">
        <f aca="false">'MASSIVE 25E'!C7</f>
        <v>25120</v>
      </c>
      <c r="E129" s="2" t="str">
        <f aca="false">'MASSIVE 25E'!B7</f>
        <v>ANIKA DEWAN</v>
      </c>
      <c r="F129" s="2" t="str">
        <f aca="false">'MASSIVE 25E'!D7</f>
        <v>01846-117102</v>
      </c>
      <c r="G129" s="2" t="str">
        <f aca="false">'MASSIVE 25E'!E7</f>
        <v>01301-054934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14</v>
      </c>
    </row>
    <row r="130" customFormat="false" ht="15" hidden="false" customHeight="false" outlineLevel="0" collapsed="false">
      <c r="A130" s="2" t="n">
        <v>129</v>
      </c>
      <c r="B130" s="2" t="s">
        <v>21</v>
      </c>
      <c r="C130" s="2" t="s">
        <v>13</v>
      </c>
      <c r="D130" s="2" t="n">
        <f aca="false">'MASSIVE 25E'!C8</f>
        <v>0</v>
      </c>
      <c r="E130" s="2" t="str">
        <f aca="false">'MASSIVE 25E'!B8</f>
        <v>MD MAHADI HASAN</v>
      </c>
      <c r="F130" s="2" t="str">
        <f aca="false">'MASSIVE 25E'!D8</f>
        <v>01533-465601</v>
      </c>
      <c r="G130" s="2" t="n">
        <f aca="false">'MASSIVE 25E'!E8</f>
        <v>0</v>
      </c>
      <c r="H130" s="2" t="s">
        <v>14</v>
      </c>
      <c r="I130" s="2" t="s">
        <v>14</v>
      </c>
      <c r="J130" s="2" t="s">
        <v>14</v>
      </c>
      <c r="K130" s="2" t="s">
        <v>14</v>
      </c>
      <c r="L130" s="2" t="s">
        <v>14</v>
      </c>
    </row>
    <row r="131" customFormat="false" ht="15" hidden="false" customHeight="false" outlineLevel="0" collapsed="false">
      <c r="A131" s="2" t="n">
        <v>130</v>
      </c>
      <c r="B131" s="2" t="s">
        <v>21</v>
      </c>
      <c r="C131" s="2" t="s">
        <v>13</v>
      </c>
      <c r="D131" s="2" t="n">
        <f aca="false">'MASSIVE 25E'!C9</f>
        <v>25125</v>
      </c>
      <c r="E131" s="2" t="str">
        <f aca="false">'MASSIVE 25E'!B9</f>
        <v>HASAN Cokder</v>
      </c>
      <c r="F131" s="2" t="str">
        <f aca="false">'MASSIVE 25E'!D9</f>
        <v>01622-140141</v>
      </c>
      <c r="G131" s="2" t="str">
        <f aca="false">'MASSIVE 25E'!E9</f>
        <v>01877-811672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14</v>
      </c>
    </row>
    <row r="132" customFormat="false" ht="15" hidden="false" customHeight="false" outlineLevel="0" collapsed="false">
      <c r="A132" s="2" t="n">
        <v>131</v>
      </c>
      <c r="B132" s="2" t="s">
        <v>21</v>
      </c>
      <c r="C132" s="2" t="s">
        <v>13</v>
      </c>
      <c r="D132" s="2" t="n">
        <f aca="false">'MASSIVE 25E'!C10</f>
        <v>25119</v>
      </c>
      <c r="E132" s="2" t="str">
        <f aca="false">'MASSIVE 25E'!B10</f>
        <v>EIFTI AHMED</v>
      </c>
      <c r="F132" s="2" t="str">
        <f aca="false">'MASSIVE 25E'!D10</f>
        <v>01875-318465</v>
      </c>
      <c r="G132" s="2" t="str">
        <f aca="false">'MASSIVE 25E'!E10</f>
        <v>01868-531499</v>
      </c>
      <c r="H132" s="2" t="s">
        <v>14</v>
      </c>
      <c r="I132" s="2" t="s">
        <v>14</v>
      </c>
      <c r="J132" s="2" t="s">
        <v>14</v>
      </c>
      <c r="K132" s="2" t="s">
        <v>14</v>
      </c>
      <c r="L132" s="2" t="s">
        <v>14</v>
      </c>
    </row>
    <row r="133" customFormat="false" ht="15" hidden="false" customHeight="false" outlineLevel="0" collapsed="false">
      <c r="A133" s="2" t="n">
        <v>132</v>
      </c>
      <c r="B133" s="2" t="s">
        <v>21</v>
      </c>
      <c r="C133" s="2" t="s">
        <v>13</v>
      </c>
      <c r="D133" s="2" t="n">
        <f aca="false">'MASSIVE 25E'!C11</f>
        <v>0</v>
      </c>
      <c r="E133" s="2" t="str">
        <f aca="false">'MASSIVE 25E'!B11</f>
        <v>MD SHARIR HOSSEN</v>
      </c>
      <c r="F133" s="2" t="str">
        <f aca="false">'MASSIVE 25E'!D11</f>
        <v>01643-711825</v>
      </c>
      <c r="G133" s="2" t="str">
        <f aca="false">'MASSIVE 25E'!E11</f>
        <v>01714-451783</v>
      </c>
      <c r="H133" s="2" t="s">
        <v>14</v>
      </c>
      <c r="I133" s="2" t="s">
        <v>14</v>
      </c>
      <c r="J133" s="2" t="s">
        <v>14</v>
      </c>
      <c r="K133" s="2" t="s">
        <v>14</v>
      </c>
      <c r="L133" s="2" t="s">
        <v>14</v>
      </c>
    </row>
    <row r="134" customFormat="false" ht="15" hidden="false" customHeight="false" outlineLevel="0" collapsed="false">
      <c r="A134" s="2" t="n">
        <v>133</v>
      </c>
      <c r="B134" s="2" t="s">
        <v>21</v>
      </c>
      <c r="C134" s="2" t="s">
        <v>13</v>
      </c>
      <c r="D134" s="2" t="n">
        <f aca="false">'MASSIVE 25E'!C12</f>
        <v>25126</v>
      </c>
      <c r="E134" s="2" t="str">
        <f aca="false">'MASSIVE 25E'!B12</f>
        <v>AMINUL ISLAM JISUN</v>
      </c>
      <c r="F134" s="2" t="str">
        <f aca="false">'MASSIVE 25E'!D12</f>
        <v>01758-034945</v>
      </c>
      <c r="G134" s="2" t="str">
        <f aca="false">'MASSIVE 25E'!E12</f>
        <v>0171954-0296</v>
      </c>
      <c r="H134" s="2" t="s">
        <v>14</v>
      </c>
      <c r="I134" s="2" t="s">
        <v>14</v>
      </c>
      <c r="J134" s="2" t="s">
        <v>14</v>
      </c>
      <c r="K134" s="2" t="s">
        <v>14</v>
      </c>
      <c r="L134" s="2" t="s">
        <v>14</v>
      </c>
    </row>
    <row r="135" customFormat="false" ht="15" hidden="false" customHeight="false" outlineLevel="0" collapsed="false">
      <c r="A135" s="2" t="n">
        <v>134</v>
      </c>
      <c r="B135" s="2" t="s">
        <v>21</v>
      </c>
      <c r="C135" s="2" t="s">
        <v>13</v>
      </c>
      <c r="D135" s="2" t="n">
        <f aca="false">'MASSIVE 25E'!C13</f>
        <v>25128</v>
      </c>
      <c r="E135" s="2" t="str">
        <f aca="false">'MASSIVE 25E'!B13</f>
        <v>KOUSIK MITRA</v>
      </c>
      <c r="F135" s="2" t="str">
        <f aca="false">'MASSIVE 25E'!D13</f>
        <v>0130-5498009</v>
      </c>
      <c r="G135" s="2" t="str">
        <f aca="false">'MASSIVE 25E'!E13</f>
        <v>01712-741310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14</v>
      </c>
    </row>
    <row r="136" customFormat="false" ht="15" hidden="false" customHeight="false" outlineLevel="0" collapsed="false">
      <c r="A136" s="2" t="n">
        <v>135</v>
      </c>
      <c r="B136" s="2" t="s">
        <v>21</v>
      </c>
      <c r="C136" s="2" t="s">
        <v>13</v>
      </c>
      <c r="D136" s="2" t="n">
        <f aca="false">'MASSIVE 25E'!C14</f>
        <v>25121</v>
      </c>
      <c r="E136" s="2" t="str">
        <f aca="false">'MASSIVE 25E'!B14</f>
        <v>ISTIAK AHMED</v>
      </c>
      <c r="F136" s="2" t="str">
        <f aca="false">'MASSIVE 25E'!D14</f>
        <v>01915-151185</v>
      </c>
      <c r="G136" s="2" t="n">
        <f aca="false">'MASSIVE 25E'!E14</f>
        <v>0</v>
      </c>
      <c r="H136" s="2" t="s">
        <v>14</v>
      </c>
      <c r="I136" s="2" t="s">
        <v>14</v>
      </c>
      <c r="J136" s="2" t="s">
        <v>14</v>
      </c>
      <c r="K136" s="2" t="s">
        <v>14</v>
      </c>
      <c r="L136" s="2" t="s">
        <v>14</v>
      </c>
    </row>
    <row r="137" customFormat="false" ht="15" hidden="false" customHeight="false" outlineLevel="0" collapsed="false">
      <c r="A137" s="2" t="n">
        <v>136</v>
      </c>
      <c r="B137" s="2" t="s">
        <v>21</v>
      </c>
      <c r="C137" s="2" t="s">
        <v>13</v>
      </c>
      <c r="D137" s="2" t="n">
        <f aca="false">'MASSIVE 25E'!C15</f>
        <v>25122</v>
      </c>
      <c r="E137" s="2" t="str">
        <f aca="false">'MASSIVE 25E'!B15</f>
        <v>MD MURAD HASAN</v>
      </c>
      <c r="F137" s="2" t="str">
        <f aca="false">'MASSIVE 25E'!D15</f>
        <v>01772-320036</v>
      </c>
      <c r="G137" s="2" t="str">
        <f aca="false">'MASSIVE 25E'!E15</f>
        <v>01929-082894</v>
      </c>
      <c r="H137" s="2" t="s">
        <v>14</v>
      </c>
      <c r="I137" s="2" t="s">
        <v>14</v>
      </c>
      <c r="J137" s="2" t="s">
        <v>14</v>
      </c>
      <c r="K137" s="2" t="s">
        <v>14</v>
      </c>
      <c r="L137" s="2" t="s">
        <v>14</v>
      </c>
    </row>
    <row r="138" customFormat="false" ht="15" hidden="false" customHeight="false" outlineLevel="0" collapsed="false">
      <c r="A138" s="2" t="n">
        <v>137</v>
      </c>
      <c r="B138" s="2" t="s">
        <v>21</v>
      </c>
      <c r="C138" s="2" t="s">
        <v>13</v>
      </c>
      <c r="D138" s="2" t="n">
        <f aca="false">'MASSIVE 25E'!C16</f>
        <v>25123</v>
      </c>
      <c r="E138" s="2" t="str">
        <f aca="false">'MASSIVE 25E'!B16</f>
        <v>BM SAAMIR </v>
      </c>
      <c r="F138" s="2" t="str">
        <f aca="false">'MASSIVE 25E'!D16</f>
        <v>01782-220275</v>
      </c>
      <c r="G138" s="2" t="str">
        <f aca="false">'MASSIVE 25E'!E16</f>
        <v>01930-254509</v>
      </c>
      <c r="H138" s="2" t="s">
        <v>14</v>
      </c>
      <c r="I138" s="2" t="s">
        <v>14</v>
      </c>
      <c r="J138" s="2" t="s">
        <v>14</v>
      </c>
      <c r="K138" s="2" t="s">
        <v>14</v>
      </c>
      <c r="L138" s="2" t="s">
        <v>14</v>
      </c>
    </row>
    <row r="139" customFormat="false" ht="15" hidden="false" customHeight="false" outlineLevel="0" collapsed="false">
      <c r="A139" s="2" t="n">
        <v>138</v>
      </c>
      <c r="B139" s="2" t="s">
        <v>22</v>
      </c>
      <c r="C139" s="2" t="s">
        <v>13</v>
      </c>
      <c r="D139" s="2" t="n">
        <f aca="false">'MASSIVE 25G'!D4</f>
        <v>25148</v>
      </c>
      <c r="E139" s="2" t="str">
        <f aca="false">'MASSIVE 25G'!C4</f>
        <v>MD NAIM KHAN</v>
      </c>
      <c r="F139" s="2" t="str">
        <f aca="false">'MASSIVE 25G'!E4</f>
        <v>01629-787994</v>
      </c>
      <c r="G139" s="2" t="str">
        <f aca="false">'MASSIVE 25G'!F4</f>
        <v>01829-268803</v>
      </c>
      <c r="H139" s="2" t="s">
        <v>14</v>
      </c>
      <c r="I139" s="2" t="s">
        <v>14</v>
      </c>
      <c r="J139" s="2" t="s">
        <v>14</v>
      </c>
      <c r="K139" s="2" t="s">
        <v>14</v>
      </c>
      <c r="L139" s="2" t="s">
        <v>14</v>
      </c>
    </row>
    <row r="140" customFormat="false" ht="15" hidden="false" customHeight="false" outlineLevel="0" collapsed="false">
      <c r="A140" s="2" t="n">
        <v>139</v>
      </c>
      <c r="B140" s="2" t="s">
        <v>22</v>
      </c>
      <c r="C140" s="2" t="s">
        <v>13</v>
      </c>
      <c r="D140" s="2" t="n">
        <f aca="false">'MASSIVE 25G'!D5</f>
        <v>25147</v>
      </c>
      <c r="E140" s="2" t="str">
        <f aca="false">'MASSIVE 25G'!C5</f>
        <v>MD TOUFIK AHMED</v>
      </c>
      <c r="F140" s="2" t="str">
        <f aca="false">'MASSIVE 25G'!E5</f>
        <v>01339-633559</v>
      </c>
      <c r="G140" s="2" t="str">
        <f aca="false">'MASSIVE 25G'!F5</f>
        <v>01675-551262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14</v>
      </c>
    </row>
    <row r="141" customFormat="false" ht="15" hidden="false" customHeight="false" outlineLevel="0" collapsed="false">
      <c r="A141" s="2" t="n">
        <v>140</v>
      </c>
      <c r="B141" s="2" t="s">
        <v>22</v>
      </c>
      <c r="C141" s="2" t="s">
        <v>13</v>
      </c>
      <c r="D141" s="2" t="n">
        <f aca="false">'MASSIVE 25G'!D6</f>
        <v>25145</v>
      </c>
      <c r="E141" s="2" t="str">
        <f aca="false">'MASSIVE 25G'!C6</f>
        <v>AL SHAHRIA</v>
      </c>
      <c r="F141" s="2" t="str">
        <f aca="false">'MASSIVE 25G'!E6</f>
        <v>01560-015620</v>
      </c>
      <c r="G141" s="2" t="str">
        <f aca="false">'MASSIVE 25G'!F6</f>
        <v>01745-394026</v>
      </c>
      <c r="H141" s="2" t="s">
        <v>14</v>
      </c>
      <c r="I141" s="2" t="s">
        <v>14</v>
      </c>
      <c r="J141" s="2" t="s">
        <v>14</v>
      </c>
      <c r="K141" s="2" t="s">
        <v>14</v>
      </c>
      <c r="L141" s="2" t="s">
        <v>14</v>
      </c>
    </row>
    <row r="142" customFormat="false" ht="15" hidden="false" customHeight="false" outlineLevel="0" collapsed="false">
      <c r="A142" s="2" t="n">
        <v>141</v>
      </c>
      <c r="B142" s="2" t="s">
        <v>22</v>
      </c>
      <c r="C142" s="2" t="s">
        <v>13</v>
      </c>
      <c r="D142" s="2" t="n">
        <f aca="false">'MASSIVE 25G'!D7</f>
        <v>25144</v>
      </c>
      <c r="E142" s="2" t="str">
        <f aca="false">'MASSIVE 25G'!C7</f>
        <v>RASEDUL ISLAM TUSHAR</v>
      </c>
      <c r="F142" s="2" t="str">
        <f aca="false">'MASSIVE 25G'!E7</f>
        <v>01798-048367</v>
      </c>
      <c r="G142" s="2" t="str">
        <f aca="false">'MASSIVE 25G'!F7</f>
        <v>01789-262371</v>
      </c>
      <c r="H142" s="2" t="s">
        <v>14</v>
      </c>
      <c r="I142" s="2" t="s">
        <v>14</v>
      </c>
      <c r="J142" s="2" t="s">
        <v>14</v>
      </c>
      <c r="K142" s="2" t="s">
        <v>14</v>
      </c>
      <c r="L142" s="2" t="s">
        <v>14</v>
      </c>
    </row>
    <row r="143" customFormat="false" ht="15" hidden="false" customHeight="false" outlineLevel="0" collapsed="false">
      <c r="A143" s="2" t="n">
        <v>142</v>
      </c>
      <c r="B143" s="2" t="s">
        <v>22</v>
      </c>
      <c r="C143" s="2" t="s">
        <v>13</v>
      </c>
      <c r="D143" s="2" t="n">
        <f aca="false">'MASSIVE 25G'!D8</f>
        <v>25137</v>
      </c>
      <c r="E143" s="2" t="str">
        <f aca="false">'MASSIVE 25G'!C8</f>
        <v>MD MARUF HOSSAIN SIAM</v>
      </c>
      <c r="F143" s="2" t="str">
        <f aca="false">'MASSIVE 25G'!E8</f>
        <v>01984-348666</v>
      </c>
      <c r="G143" s="2" t="str">
        <f aca="false">'MASSIVE 25G'!F8</f>
        <v>01581-227286</v>
      </c>
      <c r="H143" s="2" t="s">
        <v>14</v>
      </c>
      <c r="I143" s="2" t="s">
        <v>14</v>
      </c>
      <c r="J143" s="2" t="s">
        <v>14</v>
      </c>
      <c r="K143" s="2" t="s">
        <v>14</v>
      </c>
      <c r="L143" s="2" t="s">
        <v>14</v>
      </c>
    </row>
    <row r="144" customFormat="false" ht="15" hidden="false" customHeight="false" outlineLevel="0" collapsed="false">
      <c r="A144" s="2" t="n">
        <v>143</v>
      </c>
      <c r="B144" s="2" t="s">
        <v>22</v>
      </c>
      <c r="C144" s="2" t="s">
        <v>13</v>
      </c>
      <c r="D144" s="2" t="n">
        <f aca="false">'MASSIVE 25G'!D9</f>
        <v>25153</v>
      </c>
      <c r="E144" s="2" t="str">
        <f aca="false">'MASSIVE 25G'!C9</f>
        <v>AL JUBAIR</v>
      </c>
      <c r="F144" s="2" t="str">
        <f aca="false">'MASSIVE 25G'!E9</f>
        <v>01873-652079</v>
      </c>
      <c r="G144" s="2" t="str">
        <f aca="false">'MASSIVE 25G'!F9</f>
        <v>01823-417527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</row>
    <row r="145" customFormat="false" ht="15" hidden="false" customHeight="false" outlineLevel="0" collapsed="false">
      <c r="A145" s="2" t="n">
        <v>144</v>
      </c>
      <c r="B145" s="2" t="s">
        <v>22</v>
      </c>
      <c r="C145" s="2" t="s">
        <v>13</v>
      </c>
      <c r="D145" s="2" t="n">
        <f aca="false">'MASSIVE 25G'!D10</f>
        <v>25152</v>
      </c>
      <c r="E145" s="2" t="str">
        <f aca="false">'MASSIVE 25G'!C10</f>
        <v>MD.SADDAM HOSSAIN</v>
      </c>
      <c r="F145" s="2" t="str">
        <f aca="false">'MASSIVE 25G'!E10</f>
        <v>01734-812609</v>
      </c>
      <c r="G145" s="2" t="str">
        <f aca="false">'MASSIVE 25G'!F10</f>
        <v>01855-340041</v>
      </c>
      <c r="H145" s="2" t="s">
        <v>14</v>
      </c>
      <c r="I145" s="2" t="s">
        <v>14</v>
      </c>
      <c r="J145" s="2" t="s">
        <v>14</v>
      </c>
      <c r="K145" s="2" t="s">
        <v>14</v>
      </c>
      <c r="L145" s="2" t="s">
        <v>14</v>
      </c>
    </row>
    <row r="146" customFormat="false" ht="15" hidden="false" customHeight="false" outlineLevel="0" collapsed="false">
      <c r="A146" s="2" t="n">
        <v>145</v>
      </c>
      <c r="B146" s="2" t="s">
        <v>22</v>
      </c>
      <c r="C146" s="2" t="s">
        <v>13</v>
      </c>
      <c r="D146" s="2" t="n">
        <f aca="false">'MASSIVE 25G'!D11</f>
        <v>25154</v>
      </c>
      <c r="E146" s="2" t="str">
        <f aca="false">'MASSIVE 25G'!C11</f>
        <v>SHANTO MOLLIK</v>
      </c>
      <c r="F146" s="2" t="str">
        <f aca="false">'MASSIVE 25G'!E11</f>
        <v>01872-316793</v>
      </c>
      <c r="G146" s="2" t="n">
        <f aca="false">'MASSIVE 25G'!F11</f>
        <v>0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14</v>
      </c>
    </row>
    <row r="147" customFormat="false" ht="15" hidden="false" customHeight="false" outlineLevel="0" collapsed="false">
      <c r="A147" s="2" t="n">
        <v>146</v>
      </c>
      <c r="B147" s="2" t="s">
        <v>22</v>
      </c>
      <c r="C147" s="2" t="s">
        <v>13</v>
      </c>
      <c r="D147" s="2" t="n">
        <f aca="false">'MASSIVE 25G'!D12</f>
        <v>25162</v>
      </c>
      <c r="E147" s="2" t="str">
        <f aca="false">'MASSIVE 25G'!C12</f>
        <v>MUSFIQUR MAHMUD</v>
      </c>
      <c r="F147" s="2" t="str">
        <f aca="false">'MASSIVE 25G'!E12</f>
        <v>01788-444277</v>
      </c>
      <c r="G147" s="2" t="str">
        <f aca="false">'MASSIVE 25G'!F12</f>
        <v>01818-459512</v>
      </c>
      <c r="H147" s="2" t="s">
        <v>14</v>
      </c>
      <c r="I147" s="2" t="s">
        <v>14</v>
      </c>
      <c r="J147" s="2" t="s">
        <v>14</v>
      </c>
      <c r="K147" s="2" t="s">
        <v>14</v>
      </c>
      <c r="L147" s="2" t="s">
        <v>14</v>
      </c>
    </row>
    <row r="148" customFormat="false" ht="15" hidden="false" customHeight="false" outlineLevel="0" collapsed="false">
      <c r="A148" s="2" t="n">
        <v>147</v>
      </c>
      <c r="B148" s="2" t="s">
        <v>22</v>
      </c>
      <c r="C148" s="2" t="s">
        <v>13</v>
      </c>
      <c r="D148" s="2" t="n">
        <f aca="false">'MASSIVE 25G'!D13</f>
        <v>25156</v>
      </c>
      <c r="E148" s="2" t="str">
        <f aca="false">'MASSIVE 25G'!C13</f>
        <v>SIAM DEWAN</v>
      </c>
      <c r="F148" s="2" t="str">
        <f aca="false">'MASSIVE 25G'!E13</f>
        <v>01866-449803</v>
      </c>
      <c r="G148" s="2" t="n">
        <f aca="false">'MASSIVE 25G'!F13</f>
        <v>0</v>
      </c>
      <c r="H148" s="2" t="s">
        <v>14</v>
      </c>
      <c r="I148" s="2" t="s">
        <v>14</v>
      </c>
      <c r="J148" s="2" t="s">
        <v>14</v>
      </c>
      <c r="K148" s="2" t="s">
        <v>14</v>
      </c>
      <c r="L148" s="2" t="s">
        <v>14</v>
      </c>
    </row>
    <row r="149" customFormat="false" ht="15" hidden="false" customHeight="false" outlineLevel="0" collapsed="false">
      <c r="A149" s="2" t="n">
        <v>148</v>
      </c>
      <c r="B149" s="2" t="s">
        <v>22</v>
      </c>
      <c r="C149" s="2" t="s">
        <v>13</v>
      </c>
      <c r="D149" s="2" t="n">
        <f aca="false">'MASSIVE 25G'!D14</f>
        <v>25159</v>
      </c>
      <c r="E149" s="2" t="str">
        <f aca="false">'MASSIVE 25G'!C14</f>
        <v>ANAMUL HASAN SABBIR </v>
      </c>
      <c r="F149" s="2" t="str">
        <f aca="false">'MASSIVE 25G'!E14</f>
        <v>01828-023752</v>
      </c>
      <c r="G149" s="2" t="str">
        <f aca="false">'MASSIVE 25G'!F14</f>
        <v>01843-168007</v>
      </c>
      <c r="H149" s="2" t="s">
        <v>14</v>
      </c>
      <c r="I149" s="2" t="s">
        <v>14</v>
      </c>
      <c r="J149" s="2" t="s">
        <v>14</v>
      </c>
      <c r="K149" s="2" t="s">
        <v>14</v>
      </c>
      <c r="L149" s="2" t="s">
        <v>14</v>
      </c>
    </row>
    <row r="150" customFormat="false" ht="15" hidden="false" customHeight="false" outlineLevel="0" collapsed="false">
      <c r="A150" s="2" t="n">
        <v>149</v>
      </c>
      <c r="B150" s="2" t="s">
        <v>22</v>
      </c>
      <c r="C150" s="2" t="s">
        <v>13</v>
      </c>
      <c r="D150" s="2" t="n">
        <f aca="false">'MASSIVE 25G'!D15</f>
        <v>25157</v>
      </c>
      <c r="E150" s="2" t="str">
        <f aca="false">'MASSIVE 25G'!C15</f>
        <v>PRONOB KUMAR DAS</v>
      </c>
      <c r="F150" s="2" t="str">
        <f aca="false">'MASSIVE 25G'!E15</f>
        <v>01951-300381</v>
      </c>
      <c r="G150" s="2" t="str">
        <f aca="false">'MASSIVE 25G'!F15</f>
        <v>01792-160685</v>
      </c>
      <c r="H150" s="2" t="s">
        <v>14</v>
      </c>
      <c r="I150" s="2" t="s">
        <v>14</v>
      </c>
      <c r="J150" s="2" t="s">
        <v>14</v>
      </c>
      <c r="K150" s="2" t="s">
        <v>14</v>
      </c>
      <c r="L150" s="2" t="s">
        <v>14</v>
      </c>
    </row>
    <row r="151" customFormat="false" ht="15" hidden="false" customHeight="false" outlineLevel="0" collapsed="false">
      <c r="A151" s="2" t="n">
        <v>150</v>
      </c>
      <c r="B151" s="2" t="s">
        <v>22</v>
      </c>
      <c r="C151" s="2" t="s">
        <v>13</v>
      </c>
      <c r="D151" s="2" t="n">
        <f aca="false">'MASSIVE 25G'!D16</f>
        <v>25195</v>
      </c>
      <c r="E151" s="2" t="str">
        <f aca="false">'MASSIVE 25G'!C16</f>
        <v>SAMINUL ISLAM SHIMUL</v>
      </c>
      <c r="F151" s="2" t="str">
        <f aca="false">'MASSIVE 25G'!E16</f>
        <v>01739-508577</v>
      </c>
      <c r="G151" s="2" t="str">
        <f aca="false">'MASSIVE 25G'!F16</f>
        <v>01879-348008</v>
      </c>
      <c r="H151" s="2" t="s">
        <v>14</v>
      </c>
      <c r="I151" s="2" t="s">
        <v>14</v>
      </c>
      <c r="J151" s="2" t="s">
        <v>14</v>
      </c>
      <c r="K151" s="2" t="s">
        <v>14</v>
      </c>
      <c r="L151" s="2" t="s">
        <v>14</v>
      </c>
    </row>
    <row r="152" customFormat="false" ht="15" hidden="false" customHeight="false" outlineLevel="0" collapsed="false">
      <c r="A152" s="2" t="n">
        <v>151</v>
      </c>
      <c r="B152" s="2" t="s">
        <v>22</v>
      </c>
      <c r="C152" s="2" t="s">
        <v>13</v>
      </c>
      <c r="D152" s="2" t="n">
        <f aca="false">'MASSIVE 25G'!D17</f>
        <v>25184</v>
      </c>
      <c r="E152" s="2" t="str">
        <f aca="false">'MASSIVE 25G'!C17</f>
        <v>RAYHAN MIAH</v>
      </c>
      <c r="F152" s="2" t="str">
        <f aca="false">'MASSIVE 25G'!E17</f>
        <v>01568-531847</v>
      </c>
      <c r="G152" s="2" t="str">
        <f aca="false">'MASSIVE 25G'!F17</f>
        <v>01581-860242</v>
      </c>
      <c r="H152" s="2" t="s">
        <v>14</v>
      </c>
      <c r="I152" s="2" t="s">
        <v>14</v>
      </c>
      <c r="J152" s="2" t="s">
        <v>14</v>
      </c>
      <c r="K152" s="2" t="s">
        <v>14</v>
      </c>
      <c r="L152" s="2" t="s">
        <v>14</v>
      </c>
    </row>
    <row r="153" customFormat="false" ht="15" hidden="false" customHeight="false" outlineLevel="0" collapsed="false">
      <c r="A153" s="2" t="n">
        <v>152</v>
      </c>
      <c r="B153" s="2" t="s">
        <v>22</v>
      </c>
      <c r="C153" s="2" t="s">
        <v>13</v>
      </c>
      <c r="D153" s="2" t="n">
        <f aca="false">'MASSIVE 25G'!D18</f>
        <v>25158</v>
      </c>
      <c r="E153" s="2" t="str">
        <f aca="false">'MASSIVE 25G'!C18</f>
        <v>YEAMIN SEHRIABAT</v>
      </c>
      <c r="F153" s="2" t="str">
        <f aca="false">'MASSIVE 25G'!E18</f>
        <v>01828-960337</v>
      </c>
      <c r="G153" s="2" t="n">
        <f aca="false">'MASSIVE 25G'!F18</f>
        <v>96598523956</v>
      </c>
      <c r="H153" s="2" t="s">
        <v>14</v>
      </c>
      <c r="I153" s="2" t="s">
        <v>14</v>
      </c>
      <c r="J153" s="2" t="s">
        <v>14</v>
      </c>
      <c r="K153" s="2" t="s">
        <v>14</v>
      </c>
      <c r="L153" s="2" t="s">
        <v>14</v>
      </c>
    </row>
    <row r="154" customFormat="false" ht="15" hidden="false" customHeight="false" outlineLevel="0" collapsed="false">
      <c r="A154" s="2" t="n">
        <v>153</v>
      </c>
      <c r="B154" s="2" t="s">
        <v>22</v>
      </c>
      <c r="C154" s="2" t="s">
        <v>13</v>
      </c>
      <c r="D154" s="2" t="n">
        <f aca="false">'MASSIVE 25G'!D19</f>
        <v>25117</v>
      </c>
      <c r="E154" s="2" t="str">
        <f aca="false">'MASSIVE 25G'!C19</f>
        <v>MD MUFIDUL ISLAM NILOY</v>
      </c>
      <c r="F154" s="2" t="str">
        <f aca="false">'MASSIVE 25G'!E19</f>
        <v>01886-320981</v>
      </c>
      <c r="G154" s="2" t="str">
        <f aca="false">'MASSIVE 25G'!F19</f>
        <v>01681-010533</v>
      </c>
      <c r="H154" s="2" t="s">
        <v>14</v>
      </c>
      <c r="I154" s="2" t="s">
        <v>14</v>
      </c>
      <c r="J154" s="2" t="s">
        <v>14</v>
      </c>
      <c r="K154" s="2" t="s">
        <v>14</v>
      </c>
      <c r="L154" s="2" t="s">
        <v>14</v>
      </c>
    </row>
    <row r="155" customFormat="false" ht="15" hidden="false" customHeight="false" outlineLevel="0" collapsed="false">
      <c r="A155" s="2" t="n">
        <v>154</v>
      </c>
      <c r="B155" s="2" t="s">
        <v>22</v>
      </c>
      <c r="C155" s="2" t="s">
        <v>13</v>
      </c>
      <c r="D155" s="2" t="n">
        <f aca="false">'MASSIVE 25G'!D20</f>
        <v>25118</v>
      </c>
      <c r="E155" s="2" t="str">
        <f aca="false">'MASSIVE 25G'!C20</f>
        <v>MD MONTASIR RAHMAN</v>
      </c>
      <c r="F155" s="2" t="str">
        <f aca="false">'MASSIVE 25G'!E20</f>
        <v>01828-976616</v>
      </c>
      <c r="G155" s="2" t="str">
        <f aca="false">'MASSIVE 25G'!F20</f>
        <v>01759-129011</v>
      </c>
      <c r="H155" s="2" t="s">
        <v>14</v>
      </c>
      <c r="I155" s="2" t="s">
        <v>14</v>
      </c>
      <c r="J155" s="2" t="s">
        <v>14</v>
      </c>
      <c r="K155" s="2" t="s">
        <v>14</v>
      </c>
      <c r="L155" s="2" t="s">
        <v>14</v>
      </c>
    </row>
    <row r="156" customFormat="false" ht="15" hidden="false" customHeight="false" outlineLevel="0" collapsed="false">
      <c r="A156" s="2" t="n">
        <v>155</v>
      </c>
      <c r="B156" s="2" t="s">
        <v>22</v>
      </c>
      <c r="C156" s="2" t="s">
        <v>13</v>
      </c>
      <c r="D156" s="2" t="n">
        <f aca="false">'MASSIVE 25G'!D21</f>
        <v>230</v>
      </c>
      <c r="E156" s="2" t="str">
        <f aca="false">'MASSIVE 25G'!C21</f>
        <v>RIFAT HASAN</v>
      </c>
      <c r="F156" s="2" t="str">
        <f aca="false">'MASSIVE 25G'!E21</f>
        <v>01537-552123</v>
      </c>
      <c r="G156" s="2" t="str">
        <f aca="false">'MASSIVE 25G'!F21</f>
        <v>01540-781588</v>
      </c>
      <c r="H156" s="2" t="s">
        <v>14</v>
      </c>
      <c r="I156" s="2" t="s">
        <v>14</v>
      </c>
      <c r="J156" s="2" t="s">
        <v>14</v>
      </c>
      <c r="K156" s="2" t="s">
        <v>14</v>
      </c>
      <c r="L156" s="2" t="s">
        <v>14</v>
      </c>
    </row>
    <row r="157" customFormat="false" ht="15" hidden="false" customHeight="false" outlineLevel="0" collapsed="false">
      <c r="A157" s="2" t="n">
        <v>156</v>
      </c>
      <c r="B157" s="2" t="s">
        <v>22</v>
      </c>
      <c r="C157" s="2" t="s">
        <v>13</v>
      </c>
      <c r="D157" s="2" t="n">
        <f aca="false">'MASSIVE 25G'!D22</f>
        <v>25120</v>
      </c>
      <c r="E157" s="2" t="str">
        <f aca="false">'MASSIVE 25G'!C22</f>
        <v>ANIKA DEWAN</v>
      </c>
      <c r="F157" s="2" t="str">
        <f aca="false">'MASSIVE 25G'!E22</f>
        <v>01846-117102</v>
      </c>
      <c r="G157" s="2" t="str">
        <f aca="false">'MASSIVE 25G'!F22</f>
        <v>01301-054934</v>
      </c>
      <c r="H157" s="2" t="s">
        <v>14</v>
      </c>
      <c r="I157" s="2" t="s">
        <v>14</v>
      </c>
      <c r="J157" s="2" t="s">
        <v>14</v>
      </c>
      <c r="K157" s="2" t="s">
        <v>14</v>
      </c>
      <c r="L157" s="2" t="s">
        <v>14</v>
      </c>
    </row>
    <row r="158" customFormat="false" ht="15" hidden="false" customHeight="false" outlineLevel="0" collapsed="false">
      <c r="A158" s="2" t="n">
        <v>157</v>
      </c>
      <c r="B158" s="2" t="s">
        <v>22</v>
      </c>
      <c r="C158" s="2" t="s">
        <v>13</v>
      </c>
      <c r="D158" s="2" t="n">
        <f aca="false">'MASSIVE 25G'!D23</f>
        <v>0</v>
      </c>
      <c r="E158" s="2" t="str">
        <f aca="false">'MASSIVE 25G'!C23</f>
        <v>MD MAHADI HASAN</v>
      </c>
      <c r="F158" s="2" t="str">
        <f aca="false">'MASSIVE 25G'!E23</f>
        <v>01533-465601</v>
      </c>
      <c r="G158" s="2" t="n">
        <f aca="false">'MASSIVE 25G'!F23</f>
        <v>0</v>
      </c>
      <c r="H158" s="2" t="s">
        <v>14</v>
      </c>
      <c r="I158" s="2" t="s">
        <v>14</v>
      </c>
      <c r="J158" s="2" t="s">
        <v>14</v>
      </c>
      <c r="K158" s="2" t="s">
        <v>14</v>
      </c>
      <c r="L158" s="2" t="s">
        <v>14</v>
      </c>
    </row>
    <row r="159" customFormat="false" ht="15" hidden="false" customHeight="false" outlineLevel="0" collapsed="false">
      <c r="A159" s="2" t="n">
        <v>158</v>
      </c>
      <c r="B159" s="2" t="s">
        <v>22</v>
      </c>
      <c r="C159" s="2" t="s">
        <v>13</v>
      </c>
      <c r="D159" s="2" t="n">
        <f aca="false">'MASSIVE 25G'!D24</f>
        <v>25151</v>
      </c>
      <c r="E159" s="2" t="str">
        <f aca="false">'MASSIVE 25G'!C24</f>
        <v>MUNNI AKTER</v>
      </c>
      <c r="F159" s="2" t="str">
        <f aca="false">'MASSIVE 25G'!E24</f>
        <v>01904-678823</v>
      </c>
      <c r="G159" s="2" t="str">
        <f aca="false">'MASSIVE 25G'!F24</f>
        <v>01999-952793</v>
      </c>
      <c r="H159" s="2" t="s">
        <v>14</v>
      </c>
      <c r="I159" s="2" t="s">
        <v>14</v>
      </c>
      <c r="J159" s="2" t="s">
        <v>14</v>
      </c>
      <c r="K159" s="2" t="s">
        <v>14</v>
      </c>
      <c r="L159" s="2" t="s">
        <v>14</v>
      </c>
    </row>
    <row r="160" customFormat="false" ht="15" hidden="false" customHeight="false" outlineLevel="0" collapsed="false">
      <c r="A160" s="2" t="n">
        <v>159</v>
      </c>
      <c r="B160" s="2" t="s">
        <v>23</v>
      </c>
      <c r="C160" s="2" t="s">
        <v>13</v>
      </c>
      <c r="D160" s="2" t="n">
        <f aca="false">'MASSIVE 25H'!D4</f>
        <v>25161</v>
      </c>
      <c r="E160" s="2" t="str">
        <f aca="false">'MASSIVE 25H'!C4</f>
        <v>KAWSHAR HASAN SUMIT</v>
      </c>
      <c r="F160" s="2" t="str">
        <f aca="false">'MASSIVE 25H'!E4</f>
        <v>01300-774779</v>
      </c>
      <c r="G160" s="2" t="str">
        <f aca="false">'MASSIVE 25H'!F4</f>
        <v>01778-226707</v>
      </c>
      <c r="H160" s="2" t="s">
        <v>14</v>
      </c>
      <c r="I160" s="2" t="s">
        <v>14</v>
      </c>
      <c r="J160" s="2" t="s">
        <v>14</v>
      </c>
      <c r="K160" s="2" t="s">
        <v>14</v>
      </c>
      <c r="L160" s="2" t="s">
        <v>14</v>
      </c>
    </row>
    <row r="161" customFormat="false" ht="15" hidden="false" customHeight="false" outlineLevel="0" collapsed="false">
      <c r="A161" s="2" t="n">
        <v>160</v>
      </c>
      <c r="B161" s="2" t="s">
        <v>23</v>
      </c>
      <c r="C161" s="2" t="s">
        <v>13</v>
      </c>
      <c r="D161" s="2" t="n">
        <f aca="false">'MASSIVE 25H'!D5</f>
        <v>25163</v>
      </c>
      <c r="E161" s="2" t="str">
        <f aca="false">'MASSIVE 25H'!C5</f>
        <v>MD KAWSER HOSSAIN</v>
      </c>
      <c r="F161" s="2" t="str">
        <f aca="false">'MASSIVE 25H'!E5</f>
        <v>01766-278131</v>
      </c>
      <c r="G161" s="2" t="str">
        <f aca="false">'MASSIVE 25H'!F5</f>
        <v>01763-711911</v>
      </c>
      <c r="H161" s="2" t="s">
        <v>14</v>
      </c>
      <c r="I161" s="2" t="s">
        <v>14</v>
      </c>
      <c r="J161" s="2" t="s">
        <v>14</v>
      </c>
      <c r="K161" s="2" t="s">
        <v>14</v>
      </c>
      <c r="L161" s="2" t="s">
        <v>14</v>
      </c>
    </row>
    <row r="162" customFormat="false" ht="15" hidden="false" customHeight="false" outlineLevel="0" collapsed="false">
      <c r="A162" s="2" t="n">
        <v>161</v>
      </c>
      <c r="B162" s="2" t="s">
        <v>23</v>
      </c>
      <c r="C162" s="2" t="s">
        <v>13</v>
      </c>
      <c r="D162" s="2" t="n">
        <f aca="false">'MASSIVE 25H'!D6</f>
        <v>25164</v>
      </c>
      <c r="E162" s="2" t="str">
        <f aca="false">'MASSIVE 25H'!C6</f>
        <v>ARAF SIMANTO MRIDUL</v>
      </c>
      <c r="F162" s="2" t="str">
        <f aca="false">'MASSIVE 25H'!E6</f>
        <v>01811-441558</v>
      </c>
      <c r="G162" s="2" t="str">
        <f aca="false">'MASSIVE 25H'!F6</f>
        <v>01725-775775</v>
      </c>
      <c r="H162" s="2" t="s">
        <v>14</v>
      </c>
      <c r="I162" s="2" t="s">
        <v>14</v>
      </c>
      <c r="J162" s="2" t="s">
        <v>14</v>
      </c>
      <c r="K162" s="2" t="s">
        <v>14</v>
      </c>
      <c r="L162" s="2" t="s">
        <v>14</v>
      </c>
    </row>
    <row r="163" customFormat="false" ht="15" hidden="false" customHeight="false" outlineLevel="0" collapsed="false">
      <c r="A163" s="2" t="n">
        <v>162</v>
      </c>
      <c r="B163" s="2" t="s">
        <v>23</v>
      </c>
      <c r="C163" s="2" t="s">
        <v>13</v>
      </c>
      <c r="D163" s="2" t="n">
        <f aca="false">'MASSIVE 25H'!D7</f>
        <v>25165</v>
      </c>
      <c r="E163" s="2" t="str">
        <f aca="false">'MASSIVE 25H'!C7</f>
        <v>SHARIMIN NAHAR</v>
      </c>
      <c r="F163" s="2" t="str">
        <f aca="false">'MASSIVE 25H'!E7</f>
        <v>01745-729831</v>
      </c>
      <c r="G163" s="2" t="str">
        <f aca="false">'MASSIVE 25H'!F7</f>
        <v>01711-782996</v>
      </c>
      <c r="H163" s="2" t="s">
        <v>14</v>
      </c>
      <c r="I163" s="2" t="s">
        <v>14</v>
      </c>
      <c r="J163" s="2" t="s">
        <v>14</v>
      </c>
      <c r="K163" s="2" t="s">
        <v>14</v>
      </c>
      <c r="L163" s="2" t="s">
        <v>14</v>
      </c>
    </row>
    <row r="164" customFormat="false" ht="15" hidden="false" customHeight="false" outlineLevel="0" collapsed="false">
      <c r="A164" s="2" t="n">
        <v>163</v>
      </c>
      <c r="B164" s="2" t="s">
        <v>23</v>
      </c>
      <c r="C164" s="2" t="s">
        <v>13</v>
      </c>
      <c r="D164" s="2" t="n">
        <f aca="false">'MASSIVE 25H'!D8</f>
        <v>25166</v>
      </c>
      <c r="E164" s="2" t="str">
        <f aca="false">'MASSIVE 25H'!C8</f>
        <v>MD ZAHIDUL ISLAM</v>
      </c>
      <c r="F164" s="2" t="str">
        <f aca="false">'MASSIVE 25H'!E8</f>
        <v>01790-743935</v>
      </c>
      <c r="G164" s="2" t="str">
        <f aca="false">'MASSIVE 25H'!F8</f>
        <v>01711-474921</v>
      </c>
      <c r="H164" s="2" t="s">
        <v>14</v>
      </c>
      <c r="I164" s="2" t="s">
        <v>14</v>
      </c>
      <c r="J164" s="2" t="s">
        <v>14</v>
      </c>
      <c r="K164" s="2" t="s">
        <v>14</v>
      </c>
      <c r="L164" s="2" t="s">
        <v>14</v>
      </c>
    </row>
    <row r="165" customFormat="false" ht="15" hidden="false" customHeight="false" outlineLevel="0" collapsed="false">
      <c r="A165" s="2" t="n">
        <v>164</v>
      </c>
      <c r="B165" s="2" t="s">
        <v>23</v>
      </c>
      <c r="C165" s="2" t="s">
        <v>13</v>
      </c>
      <c r="D165" s="2" t="n">
        <f aca="false">'MASSIVE 25H'!D9</f>
        <v>25169</v>
      </c>
      <c r="E165" s="2" t="str">
        <f aca="false">'MASSIVE 25H'!C9</f>
        <v>SADIA ISLAM MIM</v>
      </c>
      <c r="F165" s="2" t="str">
        <f aca="false">'MASSIVE 25H'!E9</f>
        <v>01300-774575</v>
      </c>
      <c r="G165" s="2" t="str">
        <f aca="false">'MASSIVE 25H'!F9</f>
        <v>01920-945892</v>
      </c>
      <c r="H165" s="2" t="s">
        <v>14</v>
      </c>
      <c r="I165" s="2" t="s">
        <v>14</v>
      </c>
      <c r="J165" s="2" t="s">
        <v>14</v>
      </c>
      <c r="K165" s="2" t="s">
        <v>14</v>
      </c>
      <c r="L165" s="2" t="s">
        <v>14</v>
      </c>
    </row>
    <row r="166" customFormat="false" ht="15" hidden="false" customHeight="false" outlineLevel="0" collapsed="false">
      <c r="A166" s="2" t="n">
        <v>165</v>
      </c>
      <c r="B166" s="2" t="s">
        <v>23</v>
      </c>
      <c r="C166" s="2" t="s">
        <v>13</v>
      </c>
      <c r="D166" s="2" t="n">
        <f aca="false">'MASSIVE 25H'!D10</f>
        <v>25170</v>
      </c>
      <c r="E166" s="2" t="str">
        <f aca="false">'MASSIVE 25H'!C10</f>
        <v>MD NAJMUS SAKIB</v>
      </c>
      <c r="F166" s="2" t="str">
        <f aca="false">'MASSIVE 25H'!E10</f>
        <v>01627-912464</v>
      </c>
      <c r="G166" s="2" t="str">
        <f aca="false">'MASSIVE 25H'!F10</f>
        <v>01712-605976</v>
      </c>
      <c r="H166" s="2" t="s">
        <v>14</v>
      </c>
      <c r="I166" s="2" t="s">
        <v>14</v>
      </c>
      <c r="J166" s="2" t="s">
        <v>14</v>
      </c>
      <c r="K166" s="2" t="s">
        <v>14</v>
      </c>
      <c r="L166" s="2" t="s">
        <v>14</v>
      </c>
    </row>
    <row r="167" customFormat="false" ht="15" hidden="false" customHeight="false" outlineLevel="0" collapsed="false">
      <c r="A167" s="2" t="n">
        <v>166</v>
      </c>
      <c r="B167" s="2" t="s">
        <v>23</v>
      </c>
      <c r="C167" s="2" t="s">
        <v>13</v>
      </c>
      <c r="D167" s="2" t="n">
        <f aca="false">'MASSIVE 25H'!D11</f>
        <v>25171</v>
      </c>
      <c r="E167" s="2" t="str">
        <f aca="false">'MASSIVE 25H'!C11</f>
        <v>MD JUBAER HOSSAIN</v>
      </c>
      <c r="F167" s="2" t="str">
        <f aca="false">'MASSIVE 25H'!E11</f>
        <v>01978-705578</v>
      </c>
      <c r="G167" s="2" t="str">
        <f aca="false">'MASSIVE 25H'!F11</f>
        <v>01715-050334</v>
      </c>
      <c r="H167" s="2" t="s">
        <v>14</v>
      </c>
      <c r="I167" s="2" t="s">
        <v>14</v>
      </c>
      <c r="J167" s="2" t="s">
        <v>14</v>
      </c>
      <c r="K167" s="2" t="s">
        <v>14</v>
      </c>
      <c r="L167" s="2" t="s">
        <v>14</v>
      </c>
    </row>
    <row r="168" customFormat="false" ht="15" hidden="false" customHeight="false" outlineLevel="0" collapsed="false">
      <c r="A168" s="2" t="n">
        <v>167</v>
      </c>
      <c r="B168" s="2" t="s">
        <v>23</v>
      </c>
      <c r="C168" s="2" t="s">
        <v>13</v>
      </c>
      <c r="D168" s="2" t="n">
        <f aca="false">'MASSIVE 25H'!D12</f>
        <v>25172</v>
      </c>
      <c r="E168" s="2" t="str">
        <f aca="false">'MASSIVE 25H'!C12</f>
        <v>MD MIDUL ISLAM</v>
      </c>
      <c r="F168" s="2" t="str">
        <f aca="false">'MASSIVE 25H'!E12</f>
        <v>01782-486851</v>
      </c>
      <c r="G168" s="2" t="str">
        <f aca="false">'MASSIVE 25H'!F12</f>
        <v>01728-161650</v>
      </c>
      <c r="H168" s="2" t="s">
        <v>14</v>
      </c>
      <c r="I168" s="2" t="s">
        <v>14</v>
      </c>
      <c r="J168" s="2" t="s">
        <v>14</v>
      </c>
      <c r="K168" s="2" t="s">
        <v>14</v>
      </c>
      <c r="L168" s="2" t="s">
        <v>14</v>
      </c>
    </row>
    <row r="169" customFormat="false" ht="15" hidden="false" customHeight="false" outlineLevel="0" collapsed="false">
      <c r="A169" s="2" t="n">
        <v>168</v>
      </c>
      <c r="B169" s="2" t="s">
        <v>23</v>
      </c>
      <c r="C169" s="2" t="s">
        <v>13</v>
      </c>
      <c r="D169" s="2" t="n">
        <f aca="false">'MASSIVE 25H'!D13</f>
        <v>25173</v>
      </c>
      <c r="E169" s="2" t="str">
        <f aca="false">'MASSIVE 25H'!C13</f>
        <v>NUSRAT JAHAN</v>
      </c>
      <c r="F169" s="2" t="str">
        <f aca="false">'MASSIVE 25H'!E13</f>
        <v>01623-874454</v>
      </c>
      <c r="G169" s="2" t="str">
        <f aca="false">'MASSIVE 25H'!F13</f>
        <v>01614-937695</v>
      </c>
      <c r="H169" s="2" t="s">
        <v>14</v>
      </c>
      <c r="I169" s="2" t="s">
        <v>14</v>
      </c>
      <c r="J169" s="2" t="s">
        <v>14</v>
      </c>
      <c r="K169" s="2" t="s">
        <v>14</v>
      </c>
      <c r="L169" s="2" t="s">
        <v>14</v>
      </c>
    </row>
    <row r="170" customFormat="false" ht="15" hidden="false" customHeight="false" outlineLevel="0" collapsed="false">
      <c r="A170" s="2" t="n">
        <v>169</v>
      </c>
      <c r="B170" s="2" t="s">
        <v>23</v>
      </c>
      <c r="C170" s="2" t="s">
        <v>13</v>
      </c>
      <c r="D170" s="2" t="n">
        <f aca="false">'MASSIVE 25H'!D14</f>
        <v>25146</v>
      </c>
      <c r="E170" s="2" t="str">
        <f aca="false">'MASSIVE 25H'!C14</f>
        <v>SANJIDUR RAHMAN</v>
      </c>
      <c r="F170" s="2" t="str">
        <f aca="false">'MASSIVE 25H'!E14</f>
        <v>01877-681497</v>
      </c>
      <c r="G170" s="2" t="str">
        <f aca="false">'MASSIVE 25H'!F14</f>
        <v>01923-435458</v>
      </c>
      <c r="H170" s="2" t="s">
        <v>14</v>
      </c>
      <c r="I170" s="2" t="s">
        <v>14</v>
      </c>
      <c r="J170" s="2" t="s">
        <v>14</v>
      </c>
      <c r="K170" s="2" t="s">
        <v>14</v>
      </c>
      <c r="L170" s="2" t="s">
        <v>14</v>
      </c>
    </row>
    <row r="171" customFormat="false" ht="15" hidden="false" customHeight="false" outlineLevel="0" collapsed="false">
      <c r="A171" s="2" t="n">
        <v>170</v>
      </c>
      <c r="B171" s="2" t="s">
        <v>23</v>
      </c>
      <c r="C171" s="2" t="s">
        <v>13</v>
      </c>
      <c r="D171" s="2" t="n">
        <f aca="false">'MASSIVE 25H'!D15</f>
        <v>25143</v>
      </c>
      <c r="E171" s="2" t="str">
        <f aca="false">'MASSIVE 25H'!C15</f>
        <v>BILLAL HOSSAIN SHUVO</v>
      </c>
      <c r="F171" s="2" t="str">
        <f aca="false">'MASSIVE 25H'!E15</f>
        <v>01684-018734</v>
      </c>
      <c r="G171" s="2" t="str">
        <f aca="false">'MASSIVE 25H'!F15</f>
        <v>01817-113913</v>
      </c>
      <c r="H171" s="2" t="s">
        <v>14</v>
      </c>
      <c r="I171" s="2" t="s">
        <v>14</v>
      </c>
      <c r="J171" s="2" t="s">
        <v>14</v>
      </c>
      <c r="K171" s="2" t="s">
        <v>14</v>
      </c>
      <c r="L171" s="2" t="s">
        <v>14</v>
      </c>
    </row>
    <row r="172" customFormat="false" ht="15" hidden="false" customHeight="false" outlineLevel="0" collapsed="false">
      <c r="A172" s="2" t="n">
        <v>171</v>
      </c>
      <c r="B172" s="2" t="s">
        <v>23</v>
      </c>
      <c r="C172" s="2" t="s">
        <v>13</v>
      </c>
      <c r="D172" s="2" t="n">
        <f aca="false">'MASSIVE 25H'!D16</f>
        <v>25175</v>
      </c>
      <c r="E172" s="2" t="str">
        <f aca="false">'MASSIVE 25H'!C16</f>
        <v>ABDULLAH SARKER OVI</v>
      </c>
      <c r="F172" s="2" t="str">
        <f aca="false">'MASSIVE 25H'!E16</f>
        <v>01939-988433</v>
      </c>
      <c r="G172" s="2" t="str">
        <f aca="false">'MASSIVE 25H'!F16</f>
        <v>01827-565646</v>
      </c>
      <c r="H172" s="2" t="s">
        <v>14</v>
      </c>
      <c r="I172" s="2" t="s">
        <v>14</v>
      </c>
      <c r="J172" s="2" t="s">
        <v>14</v>
      </c>
      <c r="K172" s="2" t="s">
        <v>14</v>
      </c>
      <c r="L172" s="2" t="s">
        <v>14</v>
      </c>
    </row>
    <row r="173" customFormat="false" ht="15" hidden="false" customHeight="false" outlineLevel="0" collapsed="false">
      <c r="A173" s="2" t="n">
        <v>172</v>
      </c>
      <c r="B173" s="2" t="s">
        <v>23</v>
      </c>
      <c r="C173" s="2" t="s">
        <v>13</v>
      </c>
      <c r="D173" s="2" t="n">
        <f aca="false">'MASSIVE 25H'!D17</f>
        <v>25176</v>
      </c>
      <c r="E173" s="2" t="str">
        <f aca="false">'MASSIVE 25H'!C17</f>
        <v>ABDUR RAHMAN </v>
      </c>
      <c r="F173" s="2" t="str">
        <f aca="false">'MASSIVE 25H'!E17</f>
        <v>01977-719584</v>
      </c>
      <c r="G173" s="2" t="n">
        <f aca="false">'MASSIVE 25H'!F17</f>
        <v>0</v>
      </c>
      <c r="H173" s="2" t="s">
        <v>14</v>
      </c>
      <c r="I173" s="2" t="s">
        <v>14</v>
      </c>
      <c r="J173" s="2" t="s">
        <v>14</v>
      </c>
      <c r="K173" s="2" t="s">
        <v>14</v>
      </c>
      <c r="L173" s="2" t="s">
        <v>14</v>
      </c>
    </row>
    <row r="174" customFormat="false" ht="15" hidden="false" customHeight="false" outlineLevel="0" collapsed="false">
      <c r="A174" s="2" t="n">
        <v>173</v>
      </c>
      <c r="B174" s="2" t="s">
        <v>23</v>
      </c>
      <c r="C174" s="2" t="s">
        <v>13</v>
      </c>
      <c r="D174" s="2" t="n">
        <f aca="false">'MASSIVE 25H'!D18</f>
        <v>25182</v>
      </c>
      <c r="E174" s="2" t="str">
        <f aca="false">'MASSIVE 25H'!C18</f>
        <v>HASIBUL ALOM RAPTY</v>
      </c>
      <c r="F174" s="2" t="str">
        <f aca="false">'MASSIVE 25H'!E18</f>
        <v>01992-090405</v>
      </c>
      <c r="G174" s="2" t="str">
        <f aca="false">'MASSIVE 25H'!F18</f>
        <v>01606-515053</v>
      </c>
      <c r="H174" s="2" t="s">
        <v>14</v>
      </c>
      <c r="I174" s="2" t="s">
        <v>14</v>
      </c>
      <c r="J174" s="2" t="s">
        <v>14</v>
      </c>
      <c r="K174" s="2" t="s">
        <v>14</v>
      </c>
      <c r="L174" s="2" t="s">
        <v>14</v>
      </c>
    </row>
    <row r="175" customFormat="false" ht="15" hidden="false" customHeight="false" outlineLevel="0" collapsed="false">
      <c r="A175" s="2" t="n">
        <v>174</v>
      </c>
      <c r="B175" s="2" t="s">
        <v>23</v>
      </c>
      <c r="C175" s="2" t="s">
        <v>13</v>
      </c>
      <c r="D175" s="2" t="n">
        <f aca="false">'MASSIVE 25H'!D19</f>
        <v>25124</v>
      </c>
      <c r="E175" s="2" t="str">
        <f aca="false">'MASSIVE 25H'!C19</f>
        <v>NABIL AHAMED</v>
      </c>
      <c r="F175" s="2" t="str">
        <f aca="false">'MASSIVE 25H'!E19</f>
        <v>01797-459607</v>
      </c>
      <c r="G175" s="2" t="str">
        <f aca="false">'MASSIVE 25H'!F19</f>
        <v>01712-254957</v>
      </c>
      <c r="H175" s="2" t="s">
        <v>14</v>
      </c>
      <c r="I175" s="2" t="s">
        <v>14</v>
      </c>
      <c r="J175" s="2" t="s">
        <v>14</v>
      </c>
      <c r="K175" s="2" t="s">
        <v>14</v>
      </c>
      <c r="L175" s="2" t="s">
        <v>14</v>
      </c>
    </row>
    <row r="176" customFormat="false" ht="15" hidden="false" customHeight="false" outlineLevel="0" collapsed="false">
      <c r="A176" s="2" t="n">
        <v>175</v>
      </c>
      <c r="B176" s="2" t="s">
        <v>23</v>
      </c>
      <c r="C176" s="2" t="s">
        <v>13</v>
      </c>
      <c r="D176" s="2" t="n">
        <f aca="false">'MASSIVE 25H'!D20</f>
        <v>25167</v>
      </c>
      <c r="E176" s="2" t="str">
        <f aca="false">'MASSIVE 25H'!C20</f>
        <v>MD MOHIBULLAH RIYAD</v>
      </c>
      <c r="F176" s="2" t="str">
        <f aca="false">'MASSIVE 25H'!E20</f>
        <v>01798-837178</v>
      </c>
      <c r="G176" s="2" t="str">
        <f aca="false">'MASSIVE 25H'!F20</f>
        <v>01711-474921</v>
      </c>
      <c r="H176" s="2" t="s">
        <v>14</v>
      </c>
      <c r="I176" s="2" t="s">
        <v>14</v>
      </c>
      <c r="J176" s="2" t="s">
        <v>14</v>
      </c>
      <c r="K176" s="2" t="s">
        <v>14</v>
      </c>
      <c r="L176" s="2" t="s">
        <v>14</v>
      </c>
    </row>
    <row r="177" customFormat="false" ht="15" hidden="false" customHeight="false" outlineLevel="0" collapsed="false">
      <c r="A177" s="2" t="n">
        <v>176</v>
      </c>
      <c r="B177" s="2" t="s">
        <v>23</v>
      </c>
      <c r="C177" s="2" t="s">
        <v>13</v>
      </c>
      <c r="D177" s="2" t="n">
        <f aca="false">'MASSIVE 25H'!D21</f>
        <v>25168</v>
      </c>
      <c r="E177" s="2" t="str">
        <f aca="false">'MASSIVE 25H'!C21</f>
        <v>ISMAIL HOSSAIN RAFIN</v>
      </c>
      <c r="F177" s="2" t="str">
        <f aca="false">'MASSIVE 25H'!E21</f>
        <v>01977-435967</v>
      </c>
      <c r="G177" s="2" t="str">
        <f aca="false">'MASSIVE 25H'!F21</f>
        <v>01717-435969</v>
      </c>
      <c r="H177" s="2" t="s">
        <v>14</v>
      </c>
      <c r="I177" s="2" t="s">
        <v>14</v>
      </c>
      <c r="J177" s="2" t="s">
        <v>14</v>
      </c>
      <c r="K177" s="2" t="s">
        <v>14</v>
      </c>
      <c r="L177" s="2" t="s">
        <v>14</v>
      </c>
    </row>
    <row r="178" customFormat="false" ht="15" hidden="false" customHeight="false" outlineLevel="0" collapsed="false">
      <c r="A178" s="2" t="n">
        <v>177</v>
      </c>
      <c r="B178" s="2" t="s">
        <v>23</v>
      </c>
      <c r="C178" s="2" t="s">
        <v>13</v>
      </c>
      <c r="D178" s="2" t="n">
        <f aca="false">'MASSIVE 25H'!D22</f>
        <v>25174</v>
      </c>
      <c r="E178" s="2" t="str">
        <f aca="false">'MASSIVE 25H'!C22</f>
        <v>MD ALAMIN</v>
      </c>
      <c r="F178" s="2" t="str">
        <f aca="false">'MASSIVE 25H'!E22</f>
        <v>01911-603824</v>
      </c>
      <c r="G178" s="2" t="str">
        <f aca="false">'MASSIVE 25H'!F22</f>
        <v>01712-063936</v>
      </c>
      <c r="H178" s="2" t="s">
        <v>14</v>
      </c>
      <c r="I178" s="2" t="s">
        <v>14</v>
      </c>
      <c r="J178" s="2" t="s">
        <v>14</v>
      </c>
      <c r="K178" s="2" t="s">
        <v>14</v>
      </c>
      <c r="L178" s="2" t="s">
        <v>14</v>
      </c>
    </row>
    <row r="179" customFormat="false" ht="15" hidden="false" customHeight="false" outlineLevel="0" collapsed="false">
      <c r="A179" s="2" t="n">
        <v>178</v>
      </c>
      <c r="B179" s="2" t="s">
        <v>23</v>
      </c>
      <c r="C179" s="2" t="s">
        <v>13</v>
      </c>
      <c r="D179" s="2" t="n">
        <f aca="false">'MASSIVE 25H'!D23</f>
        <v>0</v>
      </c>
      <c r="E179" s="2" t="str">
        <f aca="false">'MASSIVE 25H'!C23</f>
        <v>MD PARVEJ</v>
      </c>
      <c r="F179" s="2" t="str">
        <f aca="false">'MASSIVE 25H'!E23</f>
        <v>01893-765596</v>
      </c>
      <c r="G179" s="2" t="n">
        <f aca="false">'MASSIVE 25H'!F23</f>
        <v>0</v>
      </c>
      <c r="H179" s="2" t="s">
        <v>14</v>
      </c>
      <c r="I179" s="2" t="s">
        <v>14</v>
      </c>
      <c r="J179" s="2" t="s">
        <v>14</v>
      </c>
      <c r="K179" s="2" t="s">
        <v>14</v>
      </c>
      <c r="L179" s="2" t="s">
        <v>14</v>
      </c>
    </row>
    <row r="180" customFormat="false" ht="15" hidden="false" customHeight="false" outlineLevel="0" collapsed="false">
      <c r="A180" s="2" t="n">
        <v>179</v>
      </c>
      <c r="B180" s="2" t="s">
        <v>24</v>
      </c>
      <c r="C180" s="2" t="s">
        <v>25</v>
      </c>
      <c r="D180" s="2" t="n">
        <f aca="false">'MASSIVE 25J'!D4</f>
        <v>25178</v>
      </c>
      <c r="E180" s="2" t="str">
        <f aca="false">'MASSIVE 25J'!B4</f>
        <v>SHAHADAT HOSSAIN DIPU</v>
      </c>
      <c r="F180" s="2" t="str">
        <f aca="false">'MASSIVE 25J'!E4</f>
        <v>01925-286832</v>
      </c>
      <c r="G180" s="2" t="str">
        <f aca="false">'MASSIVE 25J'!F4</f>
        <v>01905-085910</v>
      </c>
      <c r="H180" s="2" t="s">
        <v>14</v>
      </c>
      <c r="I180" s="2" t="s">
        <v>14</v>
      </c>
      <c r="J180" s="2" t="s">
        <v>14</v>
      </c>
      <c r="K180" s="2" t="s">
        <v>14</v>
      </c>
      <c r="L180" s="2" t="s">
        <v>14</v>
      </c>
    </row>
    <row r="181" customFormat="false" ht="15" hidden="false" customHeight="false" outlineLevel="0" collapsed="false">
      <c r="A181" s="2" t="n">
        <v>180</v>
      </c>
      <c r="B181" s="2" t="s">
        <v>24</v>
      </c>
      <c r="C181" s="2" t="s">
        <v>25</v>
      </c>
      <c r="D181" s="2" t="n">
        <f aca="false">'MASSIVE 25J'!D5</f>
        <v>25179</v>
      </c>
      <c r="E181" s="2" t="str">
        <f aca="false">'MASSIVE 25J'!B5</f>
        <v>KHADIZA</v>
      </c>
      <c r="F181" s="2" t="str">
        <f aca="false">'MASSIVE 25J'!E5</f>
        <v>01920-854042</v>
      </c>
      <c r="G181" s="2" t="str">
        <f aca="false">'MASSIVE 25J'!F5</f>
        <v>01920-854042</v>
      </c>
      <c r="H181" s="2" t="s">
        <v>14</v>
      </c>
      <c r="I181" s="2" t="s">
        <v>14</v>
      </c>
      <c r="J181" s="2" t="s">
        <v>14</v>
      </c>
      <c r="K181" s="2" t="s">
        <v>14</v>
      </c>
      <c r="L181" s="2" t="s">
        <v>14</v>
      </c>
    </row>
    <row r="182" customFormat="false" ht="15" hidden="false" customHeight="false" outlineLevel="0" collapsed="false">
      <c r="A182" s="2" t="n">
        <v>181</v>
      </c>
      <c r="B182" s="2" t="s">
        <v>24</v>
      </c>
      <c r="C182" s="2" t="s">
        <v>25</v>
      </c>
      <c r="D182" s="2" t="n">
        <f aca="false">'MASSIVE 25J'!D7</f>
        <v>25186</v>
      </c>
      <c r="E182" s="2" t="str">
        <f aca="false">'MASSIVE 25J'!B7</f>
        <v>MD ABDUL MANNAN</v>
      </c>
      <c r="F182" s="2" t="str">
        <f aca="false">'MASSIVE 25J'!E7</f>
        <v>01914-878400</v>
      </c>
      <c r="G182" s="2" t="str">
        <f aca="false">'MASSIVE 25J'!F7</f>
        <v>01916-042621</v>
      </c>
      <c r="H182" s="2" t="s">
        <v>14</v>
      </c>
      <c r="I182" s="2" t="s">
        <v>14</v>
      </c>
      <c r="J182" s="2" t="s">
        <v>14</v>
      </c>
      <c r="K182" s="2" t="s">
        <v>14</v>
      </c>
      <c r="L182" s="2" t="s">
        <v>14</v>
      </c>
    </row>
    <row r="183" customFormat="false" ht="15" hidden="false" customHeight="false" outlineLevel="0" collapsed="false">
      <c r="A183" s="2" t="n">
        <v>182</v>
      </c>
      <c r="B183" s="2" t="s">
        <v>24</v>
      </c>
      <c r="C183" s="2" t="s">
        <v>25</v>
      </c>
      <c r="D183" s="2" t="n">
        <f aca="false">'MASSIVE 25J'!D8</f>
        <v>25187</v>
      </c>
      <c r="E183" s="2" t="str">
        <f aca="false">'MASSIVE 25J'!B8</f>
        <v>MD NAYMUL ISLAM</v>
      </c>
      <c r="F183" s="2" t="str">
        <f aca="false">'MASSIVE 25J'!E8</f>
        <v>01827-820017</v>
      </c>
      <c r="G183" s="2" t="str">
        <f aca="false">'MASSIVE 25J'!F8</f>
        <v>01827-820017</v>
      </c>
      <c r="H183" s="2" t="s">
        <v>14</v>
      </c>
      <c r="I183" s="2" t="s">
        <v>14</v>
      </c>
      <c r="J183" s="2" t="s">
        <v>14</v>
      </c>
      <c r="K183" s="2" t="s">
        <v>14</v>
      </c>
      <c r="L183" s="2" t="s">
        <v>14</v>
      </c>
    </row>
    <row r="184" customFormat="false" ht="15" hidden="false" customHeight="false" outlineLevel="0" collapsed="false">
      <c r="A184" s="2" t="n">
        <v>183</v>
      </c>
      <c r="B184" s="2" t="s">
        <v>24</v>
      </c>
      <c r="C184" s="2" t="s">
        <v>25</v>
      </c>
      <c r="D184" s="2" t="n">
        <f aca="false">'MASSIVE 25J'!D9</f>
        <v>25188</v>
      </c>
      <c r="E184" s="2" t="str">
        <f aca="false">'MASSIVE 25J'!B9</f>
        <v>RAMIM AKTER</v>
      </c>
      <c r="F184" s="2" t="str">
        <f aca="false">'MASSIVE 25J'!E9</f>
        <v>01742-740084</v>
      </c>
      <c r="G184" s="2" t="str">
        <f aca="false">'MASSIVE 25J'!F9</f>
        <v>01344-403427</v>
      </c>
      <c r="H184" s="2" t="s">
        <v>14</v>
      </c>
      <c r="I184" s="2" t="s">
        <v>14</v>
      </c>
      <c r="J184" s="2" t="s">
        <v>14</v>
      </c>
      <c r="K184" s="2" t="s">
        <v>14</v>
      </c>
      <c r="L184" s="2" t="s">
        <v>14</v>
      </c>
    </row>
    <row r="185" customFormat="false" ht="15" hidden="false" customHeight="false" outlineLevel="0" collapsed="false">
      <c r="A185" s="2" t="n">
        <v>184</v>
      </c>
      <c r="B185" s="2" t="s">
        <v>24</v>
      </c>
      <c r="C185" s="2" t="s">
        <v>25</v>
      </c>
      <c r="D185" s="2" t="n">
        <f aca="false">'MASSIVE 25J'!D10</f>
        <v>25180</v>
      </c>
      <c r="E185" s="2" t="str">
        <f aca="false">'MASSIVE 25J'!B10</f>
        <v>MD NOBIN</v>
      </c>
      <c r="F185" s="2" t="str">
        <f aca="false">'MASSIVE 25J'!E10</f>
        <v>01886-685229</v>
      </c>
      <c r="G185" s="2" t="str">
        <f aca="false">'MASSIVE 25J'!F10</f>
        <v>01629-165254</v>
      </c>
      <c r="H185" s="2" t="s">
        <v>14</v>
      </c>
      <c r="I185" s="2" t="s">
        <v>14</v>
      </c>
      <c r="J185" s="2" t="s">
        <v>14</v>
      </c>
      <c r="K185" s="2" t="s">
        <v>14</v>
      </c>
      <c r="L185" s="2" t="s">
        <v>14</v>
      </c>
    </row>
    <row r="186" customFormat="false" ht="15" hidden="false" customHeight="false" outlineLevel="0" collapsed="false">
      <c r="A186" s="2" t="n">
        <v>185</v>
      </c>
      <c r="B186" s="2" t="s">
        <v>24</v>
      </c>
      <c r="C186" s="2" t="s">
        <v>25</v>
      </c>
      <c r="D186" s="2" t="n">
        <f aca="false">'MASSIVE 25J'!D11</f>
        <v>25189</v>
      </c>
      <c r="E186" s="2" t="str">
        <f aca="false">'MASSIVE 25J'!B11</f>
        <v>MD SHAWON</v>
      </c>
      <c r="F186" s="2" t="str">
        <f aca="false">'MASSIVE 25J'!E11</f>
        <v>01400-990381</v>
      </c>
      <c r="G186" s="2" t="str">
        <f aca="false">'MASSIVE 25J'!F11</f>
        <v>01712-870750</v>
      </c>
      <c r="H186" s="2" t="s">
        <v>14</v>
      </c>
      <c r="I186" s="2" t="s">
        <v>14</v>
      </c>
      <c r="J186" s="2" t="s">
        <v>14</v>
      </c>
      <c r="K186" s="2" t="s">
        <v>14</v>
      </c>
      <c r="L186" s="2" t="s">
        <v>14</v>
      </c>
    </row>
    <row r="187" customFormat="false" ht="15" hidden="false" customHeight="false" outlineLevel="0" collapsed="false">
      <c r="A187" s="2" t="n">
        <v>186</v>
      </c>
      <c r="B187" s="2" t="s">
        <v>24</v>
      </c>
      <c r="C187" s="2" t="s">
        <v>25</v>
      </c>
      <c r="D187" s="2" t="n">
        <f aca="false">'MASSIVE 25J'!D12</f>
        <v>25190</v>
      </c>
      <c r="E187" s="2" t="str">
        <f aca="false">'MASSIVE 25J'!B12</f>
        <v>ABDULLAH AL SAJIB</v>
      </c>
      <c r="F187" s="2" t="str">
        <f aca="false">'MASSIVE 25J'!E12</f>
        <v>01836-645626</v>
      </c>
      <c r="G187" s="2" t="n">
        <f aca="false">'MASSIVE 25J'!F12</f>
        <v>0</v>
      </c>
      <c r="H187" s="2" t="s">
        <v>14</v>
      </c>
      <c r="I187" s="2" t="s">
        <v>14</v>
      </c>
      <c r="J187" s="2" t="s">
        <v>14</v>
      </c>
      <c r="K187" s="2" t="s">
        <v>14</v>
      </c>
      <c r="L187" s="2" t="s">
        <v>14</v>
      </c>
    </row>
    <row r="188" customFormat="false" ht="15" hidden="false" customHeight="false" outlineLevel="0" collapsed="false">
      <c r="A188" s="2" t="n">
        <v>187</v>
      </c>
      <c r="B188" s="2" t="s">
        <v>24</v>
      </c>
      <c r="C188" s="2" t="s">
        <v>25</v>
      </c>
      <c r="D188" s="2" t="n">
        <f aca="false">'MASSIVE 25J'!D13</f>
        <v>25193</v>
      </c>
      <c r="E188" s="2" t="str">
        <f aca="false">'MASSIVE 25J'!B13</f>
        <v>MD EMON</v>
      </c>
      <c r="F188" s="2" t="str">
        <f aca="false">'MASSIVE 25J'!E13</f>
        <v>01818-086458</v>
      </c>
      <c r="G188" s="2" t="str">
        <f aca="false">'MASSIVE 25J'!F13</f>
        <v>01621-088691</v>
      </c>
      <c r="H188" s="2" t="s">
        <v>14</v>
      </c>
      <c r="I188" s="2" t="s">
        <v>14</v>
      </c>
      <c r="J188" s="2" t="s">
        <v>14</v>
      </c>
      <c r="K188" s="2" t="s">
        <v>14</v>
      </c>
      <c r="L188" s="2" t="s">
        <v>14</v>
      </c>
    </row>
    <row r="189" customFormat="false" ht="15" hidden="false" customHeight="false" outlineLevel="0" collapsed="false">
      <c r="A189" s="2" t="n">
        <v>188</v>
      </c>
      <c r="B189" s="2" t="s">
        <v>24</v>
      </c>
      <c r="C189" s="2" t="s">
        <v>25</v>
      </c>
      <c r="D189" s="2" t="n">
        <f aca="false">'MASSIVE 25J'!D14</f>
        <v>25128</v>
      </c>
      <c r="E189" s="2" t="str">
        <f aca="false">'MASSIVE 25J'!B14</f>
        <v>KOUSIK MITRA</v>
      </c>
      <c r="F189" s="2" t="str">
        <f aca="false">'MASSIVE 25J'!E14</f>
        <v>0130-5498009</v>
      </c>
      <c r="G189" s="2" t="str">
        <f aca="false">'MASSIVE 25J'!F14</f>
        <v>01712-741310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</row>
    <row r="190" customFormat="false" ht="15" hidden="false" customHeight="false" outlineLevel="0" collapsed="false">
      <c r="A190" s="2" t="n">
        <v>189</v>
      </c>
      <c r="B190" s="2" t="s">
        <v>24</v>
      </c>
      <c r="C190" s="2" t="s">
        <v>25</v>
      </c>
      <c r="D190" s="2" t="n">
        <f aca="false">'MASSIVE 25J'!D15</f>
        <v>25192</v>
      </c>
      <c r="E190" s="2" t="str">
        <f aca="false">'MASSIVE 25J'!B15</f>
        <v>MD FARDIN</v>
      </c>
      <c r="F190" s="2" t="str">
        <f aca="false">'MASSIVE 25J'!E15</f>
        <v>01862-113786</v>
      </c>
      <c r="G190" s="2" t="n">
        <f aca="false">'MASSIVE 25J'!F15</f>
        <v>0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14</v>
      </c>
    </row>
    <row r="191" customFormat="false" ht="15" hidden="false" customHeight="false" outlineLevel="0" collapsed="false">
      <c r="A191" s="2" t="n">
        <v>190</v>
      </c>
      <c r="B191" s="2" t="s">
        <v>24</v>
      </c>
      <c r="C191" s="2" t="s">
        <v>25</v>
      </c>
      <c r="D191" s="2" t="n">
        <f aca="false">'MASSIVE 25J'!D16</f>
        <v>25191</v>
      </c>
      <c r="E191" s="2" t="str">
        <f aca="false">'MASSIVE 25J'!B16</f>
        <v>SIAM AHMED AZIM</v>
      </c>
      <c r="F191" s="2" t="str">
        <f aca="false">'MASSIVE 25J'!E16</f>
        <v>01731-843407</v>
      </c>
      <c r="G191" s="2" t="str">
        <f aca="false">'MASSIVE 25J'!F16</f>
        <v>01968-420819</v>
      </c>
      <c r="H191" s="2" t="s">
        <v>14</v>
      </c>
      <c r="I191" s="2" t="s">
        <v>14</v>
      </c>
      <c r="J191" s="2" t="s">
        <v>14</v>
      </c>
      <c r="K191" s="2" t="s">
        <v>14</v>
      </c>
      <c r="L191" s="2" t="s">
        <v>14</v>
      </c>
    </row>
    <row r="192" customFormat="false" ht="15" hidden="false" customHeight="false" outlineLevel="0" collapsed="false">
      <c r="A192" s="2" t="n">
        <v>191</v>
      </c>
      <c r="B192" s="2" t="s">
        <v>24</v>
      </c>
      <c r="C192" s="2" t="s">
        <v>25</v>
      </c>
      <c r="D192" s="2" t="n">
        <f aca="false">'MASSIVE 25J'!D17</f>
        <v>25185</v>
      </c>
      <c r="E192" s="2" t="str">
        <f aca="false">'MASSIVE 25J'!B17</f>
        <v>ISHAQUE JAHAN SAIKAT</v>
      </c>
      <c r="F192" s="2" t="str">
        <f aca="false">'MASSIVE 25J'!E17</f>
        <v>01629-802488</v>
      </c>
      <c r="G192" s="2" t="str">
        <f aca="false">'MASSIVE 25J'!F17</f>
        <v>01830-938388</v>
      </c>
      <c r="H192" s="2" t="s">
        <v>14</v>
      </c>
      <c r="I192" s="2" t="s">
        <v>14</v>
      </c>
      <c r="J192" s="2" t="s">
        <v>14</v>
      </c>
      <c r="K192" s="2" t="s">
        <v>14</v>
      </c>
      <c r="L192" s="2" t="s">
        <v>14</v>
      </c>
    </row>
    <row r="193" customFormat="false" ht="15" hidden="false" customHeight="false" outlineLevel="0" collapsed="false">
      <c r="A193" s="2" t="n">
        <v>192</v>
      </c>
      <c r="B193" s="2" t="s">
        <v>24</v>
      </c>
      <c r="C193" s="2" t="s">
        <v>25</v>
      </c>
      <c r="D193" s="2" t="n">
        <f aca="false">'MASSIVE 25J'!D18</f>
        <v>25218</v>
      </c>
      <c r="E193" s="2" t="str">
        <f aca="false">'MASSIVE 25J'!B18</f>
        <v>NAOMI KABIR</v>
      </c>
      <c r="F193" s="2" t="str">
        <f aca="false">'MASSIVE 25J'!E18</f>
        <v>01627-330756</v>
      </c>
      <c r="G193" s="2" t="str">
        <f aca="false">'MASSIVE 25J'!F18</f>
        <v>01727-798779</v>
      </c>
      <c r="H193" s="2" t="s">
        <v>14</v>
      </c>
      <c r="I193" s="2" t="s">
        <v>14</v>
      </c>
      <c r="J193" s="2" t="s">
        <v>14</v>
      </c>
      <c r="K193" s="2" t="s">
        <v>14</v>
      </c>
      <c r="L193" s="2" t="s">
        <v>14</v>
      </c>
    </row>
    <row r="194" customFormat="false" ht="15" hidden="false" customHeight="false" outlineLevel="0" collapsed="false">
      <c r="A194" s="2" t="n">
        <v>193</v>
      </c>
      <c r="B194" s="2" t="s">
        <v>26</v>
      </c>
      <c r="C194" s="2" t="s">
        <v>25</v>
      </c>
      <c r="D194" s="2" t="n">
        <f aca="false">'MASSIVE 25K'!B4</f>
        <v>25197</v>
      </c>
      <c r="E194" s="2" t="str">
        <f aca="false">'MASSIVE 25K'!C4</f>
        <v>Rabbi Mia</v>
      </c>
      <c r="F194" s="2" t="str">
        <f aca="false">'MASSIVE 25K'!D4</f>
        <v>01860-526566</v>
      </c>
      <c r="G194" s="2" t="str">
        <f aca="false">'MASSIVE 25K'!E4</f>
        <v>01766-078688</v>
      </c>
      <c r="H194" s="2" t="n">
        <f aca="false">IFERROR(INDEX(ATT_DATA!$D$2:$D$231,MATCH($B194&amp;"||"&amp;$D194,ATT_DATA!$G$2:$G$231,0)),"")</f>
        <v>65</v>
      </c>
      <c r="I194" s="2" t="n">
        <f aca="false">IFERROR(INDEX(ATT_DATA!$E$2:$E$231,MATCH($B194&amp;"||"&amp;$D194,ATT_DATA!$G$2:$G$231,0)),"")</f>
        <v>1</v>
      </c>
      <c r="J194" s="2" t="n">
        <f aca="false">IFERROR(INDEX(ATT_DATA!$F$2:$F$231,MATCH($B194&amp;"||"&amp;$D194,ATT_DATA!$G$2:$G$231,0)),"")</f>
        <v>0</v>
      </c>
      <c r="K194" s="2" t="n">
        <f aca="false">IF(OR(H194="",ISNUMBER(H194)=FALSE()),"",H194+I194+J194)</f>
        <v>66</v>
      </c>
      <c r="L194" s="3" t="n">
        <f aca="false">IFERROR(H194/K194,"")</f>
        <v>0.984848484848485</v>
      </c>
    </row>
    <row r="195" customFormat="false" ht="15" hidden="false" customHeight="false" outlineLevel="0" collapsed="false">
      <c r="A195" s="2" t="n">
        <v>194</v>
      </c>
      <c r="B195" s="2" t="s">
        <v>26</v>
      </c>
      <c r="C195" s="2" t="s">
        <v>25</v>
      </c>
      <c r="D195" s="2" t="n">
        <f aca="false">'MASSIVE 25K'!B5</f>
        <v>25199</v>
      </c>
      <c r="E195" s="2" t="str">
        <f aca="false">'MASSIVE 25K'!C5</f>
        <v>Julian Leon Baroi</v>
      </c>
      <c r="F195" s="2" t="str">
        <f aca="false">'MASSIVE 25K'!D5</f>
        <v>01533-931417</v>
      </c>
      <c r="G195" s="2" t="str">
        <f aca="false">'MASSIVE 25K'!E5</f>
        <v>01756-866761/0137281719</v>
      </c>
      <c r="H195" s="2" t="n">
        <f aca="false">IFERROR(INDEX(ATT_DATA!$D$2:$D$231,MATCH($B195&amp;"||"&amp;$D195,ATT_DATA!$G$2:$G$231,0)),"")</f>
        <v>32</v>
      </c>
      <c r="I195" s="2" t="n">
        <f aca="false">IFERROR(INDEX(ATT_DATA!$E$2:$E$231,MATCH($B195&amp;"||"&amp;$D195,ATT_DATA!$G$2:$G$231,0)),"")</f>
        <v>34</v>
      </c>
      <c r="J195" s="2" t="n">
        <f aca="false">IFERROR(INDEX(ATT_DATA!$F$2:$F$231,MATCH($B195&amp;"||"&amp;$D195,ATT_DATA!$G$2:$G$231,0)),"")</f>
        <v>0</v>
      </c>
      <c r="K195" s="2" t="n">
        <f aca="false">IF(OR(H195="",ISNUMBER(H195)=FALSE()),"",H195+I195+J195)</f>
        <v>66</v>
      </c>
      <c r="L195" s="3" t="n">
        <f aca="false">IFERROR(H195/K195,"")</f>
        <v>0.484848484848485</v>
      </c>
    </row>
    <row r="196" customFormat="false" ht="15" hidden="false" customHeight="false" outlineLevel="0" collapsed="false">
      <c r="A196" s="2" t="n">
        <v>195</v>
      </c>
      <c r="B196" s="2" t="s">
        <v>26</v>
      </c>
      <c r="C196" s="2" t="s">
        <v>25</v>
      </c>
      <c r="D196" s="2" t="n">
        <f aca="false">'MASSIVE 25K'!B6</f>
        <v>25200</v>
      </c>
      <c r="E196" s="2" t="str">
        <f aca="false">'MASSIVE 25K'!C6</f>
        <v>Md Kashfim Dewan</v>
      </c>
      <c r="F196" s="2" t="str">
        <f aca="false">'MASSIVE 25K'!D6</f>
        <v>01956-397723</v>
      </c>
      <c r="G196" s="2" t="str">
        <f aca="false">'MASSIVE 25K'!E6</f>
        <v>01733-509688</v>
      </c>
      <c r="H196" s="2" t="n">
        <f aca="false">IFERROR(INDEX(ATT_DATA!$D$2:$D$231,MATCH($B196&amp;"||"&amp;$D196,ATT_DATA!$G$2:$G$231,0)),"")</f>
        <v>46</v>
      </c>
      <c r="I196" s="2" t="n">
        <f aca="false">IFERROR(INDEX(ATT_DATA!$E$2:$E$231,MATCH($B196&amp;"||"&amp;$D196,ATT_DATA!$G$2:$G$231,0)),"")</f>
        <v>19</v>
      </c>
      <c r="J196" s="2" t="n">
        <f aca="false">IFERROR(INDEX(ATT_DATA!$F$2:$F$231,MATCH($B196&amp;"||"&amp;$D196,ATT_DATA!$G$2:$G$231,0)),"")</f>
        <v>1</v>
      </c>
      <c r="K196" s="2" t="n">
        <f aca="false">IF(OR(H196="",ISNUMBER(H196)=FALSE()),"",H196+I196+J196)</f>
        <v>66</v>
      </c>
      <c r="L196" s="3" t="n">
        <f aca="false">IFERROR(H196/K196,"")</f>
        <v>0.696969696969697</v>
      </c>
    </row>
    <row r="197" customFormat="false" ht="15" hidden="false" customHeight="false" outlineLevel="0" collapsed="false">
      <c r="A197" s="2" t="n">
        <v>196</v>
      </c>
      <c r="B197" s="2" t="s">
        <v>26</v>
      </c>
      <c r="C197" s="2" t="s">
        <v>25</v>
      </c>
      <c r="D197" s="2" t="n">
        <f aca="false">'MASSIVE 25K'!B7</f>
        <v>25205</v>
      </c>
      <c r="E197" s="2" t="str">
        <f aca="false">'MASSIVE 25K'!C7</f>
        <v>Imtiaz Ahamed</v>
      </c>
      <c r="F197" s="2" t="str">
        <f aca="false">'MASSIVE 25K'!D7</f>
        <v>01312-363631</v>
      </c>
      <c r="G197" s="2" t="str">
        <f aca="false">'MASSIVE 25K'!E7</f>
        <v>01540-110836</v>
      </c>
      <c r="H197" s="2" t="n">
        <f aca="false">IFERROR(INDEX(ATT_DATA!$D$2:$D$231,MATCH($B197&amp;"||"&amp;$D197,ATT_DATA!$G$2:$G$231,0)),"")</f>
        <v>63</v>
      </c>
      <c r="I197" s="2" t="n">
        <f aca="false">IFERROR(INDEX(ATT_DATA!$E$2:$E$231,MATCH($B197&amp;"||"&amp;$D197,ATT_DATA!$G$2:$G$231,0)),"")</f>
        <v>3</v>
      </c>
      <c r="J197" s="2" t="n">
        <f aca="false">IFERROR(INDEX(ATT_DATA!$F$2:$F$231,MATCH($B197&amp;"||"&amp;$D197,ATT_DATA!$G$2:$G$231,0)),"")</f>
        <v>0</v>
      </c>
      <c r="K197" s="2" t="n">
        <f aca="false">IF(OR(H197="",ISNUMBER(H197)=FALSE()),"",H197+I197+J197)</f>
        <v>66</v>
      </c>
      <c r="L197" s="3" t="n">
        <f aca="false">IFERROR(H197/K197,"")</f>
        <v>0.954545454545455</v>
      </c>
    </row>
    <row r="198" customFormat="false" ht="15" hidden="false" customHeight="false" outlineLevel="0" collapsed="false">
      <c r="A198" s="2" t="n">
        <v>197</v>
      </c>
      <c r="B198" s="2" t="s">
        <v>26</v>
      </c>
      <c r="C198" s="2" t="s">
        <v>25</v>
      </c>
      <c r="D198" s="2" t="n">
        <f aca="false">'MASSIVE 25K'!B8</f>
        <v>25206</v>
      </c>
      <c r="E198" s="2" t="str">
        <f aca="false">'MASSIVE 25K'!C8</f>
        <v>Dip Roy</v>
      </c>
      <c r="F198" s="2" t="str">
        <f aca="false">'MASSIVE 25K'!D8</f>
        <v>01749-387312</v>
      </c>
      <c r="G198" s="2" t="str">
        <f aca="false">'MASSIVE 25K'!E8</f>
        <v>01983-467220</v>
      </c>
      <c r="H198" s="2" t="n">
        <f aca="false">IFERROR(INDEX(ATT_DATA!$D$2:$D$231,MATCH($B198&amp;"||"&amp;$D198,ATT_DATA!$G$2:$G$231,0)),"")</f>
        <v>65</v>
      </c>
      <c r="I198" s="2" t="n">
        <f aca="false">IFERROR(INDEX(ATT_DATA!$E$2:$E$231,MATCH($B198&amp;"||"&amp;$D198,ATT_DATA!$G$2:$G$231,0)),"")</f>
        <v>1</v>
      </c>
      <c r="J198" s="2" t="n">
        <f aca="false">IFERROR(INDEX(ATT_DATA!$F$2:$F$231,MATCH($B198&amp;"||"&amp;$D198,ATT_DATA!$G$2:$G$231,0)),"")</f>
        <v>0</v>
      </c>
      <c r="K198" s="2" t="n">
        <f aca="false">IF(OR(H198="",ISNUMBER(H198)=FALSE()),"",H198+I198+J198)</f>
        <v>66</v>
      </c>
      <c r="L198" s="3" t="n">
        <f aca="false">IFERROR(H198/K198,"")</f>
        <v>0.984848484848485</v>
      </c>
    </row>
    <row r="199" customFormat="false" ht="15" hidden="false" customHeight="false" outlineLevel="0" collapsed="false">
      <c r="A199" s="2" t="n">
        <v>198</v>
      </c>
      <c r="B199" s="2" t="s">
        <v>26</v>
      </c>
      <c r="C199" s="2" t="s">
        <v>25</v>
      </c>
      <c r="D199" s="2" t="n">
        <f aca="false">'MASSIVE 25K'!B9</f>
        <v>25207</v>
      </c>
      <c r="E199" s="2" t="str">
        <f aca="false">'MASSIVE 25K'!C9</f>
        <v>Amitosh Mondal</v>
      </c>
      <c r="F199" s="2" t="str">
        <f aca="false">'MASSIVE 25K'!D9</f>
        <v>01707-647084</v>
      </c>
      <c r="G199" s="2" t="n">
        <f aca="false">'MASSIVE 25K'!E9</f>
        <v>0</v>
      </c>
      <c r="H199" s="2" t="n">
        <f aca="false">IFERROR(INDEX(ATT_DATA!$D$2:$D$231,MATCH($B199&amp;"||"&amp;$D199,ATT_DATA!$G$2:$G$231,0)),"")</f>
        <v>37</v>
      </c>
      <c r="I199" s="2" t="n">
        <f aca="false">IFERROR(INDEX(ATT_DATA!$E$2:$E$231,MATCH($B199&amp;"||"&amp;$D199,ATT_DATA!$G$2:$G$231,0)),"")</f>
        <v>25</v>
      </c>
      <c r="J199" s="2" t="n">
        <f aca="false">IFERROR(INDEX(ATT_DATA!$F$2:$F$231,MATCH($B199&amp;"||"&amp;$D199,ATT_DATA!$G$2:$G$231,0)),"")</f>
        <v>4</v>
      </c>
      <c r="K199" s="2" t="n">
        <f aca="false">IF(OR(H199="",ISNUMBER(H199)=FALSE()),"",H199+I199+J199)</f>
        <v>66</v>
      </c>
      <c r="L199" s="3" t="n">
        <f aca="false">IFERROR(H199/K199,"")</f>
        <v>0.560606060606061</v>
      </c>
    </row>
    <row r="200" customFormat="false" ht="15" hidden="false" customHeight="false" outlineLevel="0" collapsed="false">
      <c r="A200" s="2" t="n">
        <v>199</v>
      </c>
      <c r="B200" s="2" t="s">
        <v>26</v>
      </c>
      <c r="C200" s="2" t="s">
        <v>25</v>
      </c>
      <c r="D200" s="2" t="n">
        <f aca="false">'MASSIVE 25K'!B10</f>
        <v>25208</v>
      </c>
      <c r="E200" s="2" t="str">
        <f aca="false">'MASSIVE 25K'!C10</f>
        <v>Mst Anika </v>
      </c>
      <c r="F200" s="2" t="str">
        <f aca="false">'MASSIVE 25K'!D10</f>
        <v>01779-063625</v>
      </c>
      <c r="G200" s="2" t="str">
        <f aca="false">'MASSIVE 25K'!E10</f>
        <v>01623-828327</v>
      </c>
      <c r="H200" s="2" t="n">
        <f aca="false">IFERROR(INDEX(ATT_DATA!$D$2:$D$231,MATCH($B200&amp;"||"&amp;$D200,ATT_DATA!$G$2:$G$231,0)),"")</f>
        <v>54</v>
      </c>
      <c r="I200" s="2" t="n">
        <f aca="false">IFERROR(INDEX(ATT_DATA!$E$2:$E$231,MATCH($B200&amp;"||"&amp;$D200,ATT_DATA!$G$2:$G$231,0)),"")</f>
        <v>9</v>
      </c>
      <c r="J200" s="2" t="n">
        <f aca="false">IFERROR(INDEX(ATT_DATA!$F$2:$F$231,MATCH($B200&amp;"||"&amp;$D200,ATT_DATA!$G$2:$G$231,0)),"")</f>
        <v>3</v>
      </c>
      <c r="K200" s="2" t="n">
        <f aca="false">IF(OR(H200="",ISNUMBER(H200)=FALSE()),"",H200+I200+J200)</f>
        <v>66</v>
      </c>
      <c r="L200" s="3" t="n">
        <f aca="false">IFERROR(H200/K200,"")</f>
        <v>0.818181818181818</v>
      </c>
    </row>
    <row r="201" customFormat="false" ht="15" hidden="false" customHeight="false" outlineLevel="0" collapsed="false">
      <c r="A201" s="2" t="n">
        <v>200</v>
      </c>
      <c r="B201" s="2" t="s">
        <v>26</v>
      </c>
      <c r="C201" s="2" t="s">
        <v>25</v>
      </c>
      <c r="D201" s="2" t="n">
        <f aca="false">'MASSIVE 25K'!B11</f>
        <v>25209</v>
      </c>
      <c r="E201" s="2" t="str">
        <f aca="false">'MASSIVE 25K'!C11</f>
        <v>Md Tuhin Sarkar</v>
      </c>
      <c r="F201" s="2" t="str">
        <f aca="false">'MASSIVE 25K'!D11</f>
        <v>01825-954506</v>
      </c>
      <c r="G201" s="2" t="str">
        <f aca="false">'MASSIVE 25K'!E11</f>
        <v>01571-028361</v>
      </c>
      <c r="H201" s="2" t="n">
        <f aca="false">IFERROR(INDEX(ATT_DATA!$D$2:$D$231,MATCH($B201&amp;"||"&amp;$D201,ATT_DATA!$G$2:$G$231,0)),"")</f>
        <v>35</v>
      </c>
      <c r="I201" s="2" t="n">
        <f aca="false">IFERROR(INDEX(ATT_DATA!$E$2:$E$231,MATCH($B201&amp;"||"&amp;$D201,ATT_DATA!$G$2:$G$231,0)),"")</f>
        <v>30</v>
      </c>
      <c r="J201" s="2" t="n">
        <f aca="false">IFERROR(INDEX(ATT_DATA!$F$2:$F$231,MATCH($B201&amp;"||"&amp;$D201,ATT_DATA!$G$2:$G$231,0)),"")</f>
        <v>1</v>
      </c>
      <c r="K201" s="2" t="n">
        <f aca="false">IF(OR(H201="",ISNUMBER(H201)=FALSE()),"",H201+I201+J201)</f>
        <v>66</v>
      </c>
      <c r="L201" s="3" t="n">
        <f aca="false">IFERROR(H201/K201,"")</f>
        <v>0.53030303030303</v>
      </c>
    </row>
    <row r="202" customFormat="false" ht="15" hidden="false" customHeight="false" outlineLevel="0" collapsed="false">
      <c r="A202" s="2" t="n">
        <v>201</v>
      </c>
      <c r="B202" s="2" t="s">
        <v>26</v>
      </c>
      <c r="C202" s="2" t="s">
        <v>25</v>
      </c>
      <c r="D202" s="2" t="n">
        <f aca="false">'MASSIVE 25K'!B12</f>
        <v>25210</v>
      </c>
      <c r="E202" s="2" t="str">
        <f aca="false">'MASSIVE 25K'!C12</f>
        <v>Rubaya Sultana Rumana</v>
      </c>
      <c r="F202" s="2" t="str">
        <f aca="false">'MASSIVE 25K'!D12</f>
        <v>01760-877543</v>
      </c>
      <c r="G202" s="2" t="str">
        <f aca="false">'MASSIVE 25K'!E12</f>
        <v>01733-716077</v>
      </c>
      <c r="H202" s="2" t="n">
        <f aca="false">IFERROR(INDEX(ATT_DATA!$D$2:$D$231,MATCH($B202&amp;"||"&amp;$D202,ATT_DATA!$G$2:$G$231,0)),"")</f>
        <v>47</v>
      </c>
      <c r="I202" s="2" t="n">
        <f aca="false">IFERROR(INDEX(ATT_DATA!$E$2:$E$231,MATCH($B202&amp;"||"&amp;$D202,ATT_DATA!$G$2:$G$231,0)),"")</f>
        <v>17</v>
      </c>
      <c r="J202" s="2" t="n">
        <f aca="false">IFERROR(INDEX(ATT_DATA!$F$2:$F$231,MATCH($B202&amp;"||"&amp;$D202,ATT_DATA!$G$2:$G$231,0)),"")</f>
        <v>2</v>
      </c>
      <c r="K202" s="2" t="n">
        <f aca="false">IF(OR(H202="",ISNUMBER(H202)=FALSE()),"",H202+I202+J202)</f>
        <v>66</v>
      </c>
      <c r="L202" s="3" t="n">
        <f aca="false">IFERROR(H202/K202,"")</f>
        <v>0.712121212121212</v>
      </c>
    </row>
    <row r="203" customFormat="false" ht="15" hidden="false" customHeight="false" outlineLevel="0" collapsed="false">
      <c r="A203" s="2" t="n">
        <v>202</v>
      </c>
      <c r="B203" s="2" t="s">
        <v>26</v>
      </c>
      <c r="C203" s="2" t="s">
        <v>25</v>
      </c>
      <c r="D203" s="2" t="n">
        <f aca="false">'MASSIVE 25K'!B13</f>
        <v>25211</v>
      </c>
      <c r="E203" s="2" t="str">
        <f aca="false">'MASSIVE 25K'!C13</f>
        <v>Md Easin Sonnamat</v>
      </c>
      <c r="F203" s="2" t="str">
        <f aca="false">'MASSIVE 25K'!D13</f>
        <v>019925-59028</v>
      </c>
      <c r="G203" s="2" t="str">
        <f aca="false">'MASSIVE 25K'!E13</f>
        <v>01718-054018</v>
      </c>
      <c r="H203" s="2" t="n">
        <f aca="false">IFERROR(INDEX(ATT_DATA!$D$2:$D$231,MATCH($B203&amp;"||"&amp;$D203,ATT_DATA!$G$2:$G$231,0)),"")</f>
        <v>54</v>
      </c>
      <c r="I203" s="2" t="n">
        <f aca="false">IFERROR(INDEX(ATT_DATA!$E$2:$E$231,MATCH($B203&amp;"||"&amp;$D203,ATT_DATA!$G$2:$G$231,0)),"")</f>
        <v>11</v>
      </c>
      <c r="J203" s="2" t="n">
        <f aca="false">IFERROR(INDEX(ATT_DATA!$F$2:$F$231,MATCH($B203&amp;"||"&amp;$D203,ATT_DATA!$G$2:$G$231,0)),"")</f>
        <v>1</v>
      </c>
      <c r="K203" s="2" t="n">
        <f aca="false">IF(OR(H203="",ISNUMBER(H203)=FALSE()),"",H203+I203+J203)</f>
        <v>66</v>
      </c>
      <c r="L203" s="3" t="n">
        <f aca="false">IFERROR(H203/K203,"")</f>
        <v>0.818181818181818</v>
      </c>
    </row>
    <row r="204" customFormat="false" ht="15" hidden="false" customHeight="false" outlineLevel="0" collapsed="false">
      <c r="A204" s="2" t="n">
        <v>203</v>
      </c>
      <c r="B204" s="2" t="s">
        <v>26</v>
      </c>
      <c r="C204" s="2" t="s">
        <v>25</v>
      </c>
      <c r="D204" s="2" t="n">
        <f aca="false">'MASSIVE 25K'!B14</f>
        <v>25212</v>
      </c>
      <c r="E204" s="2" t="str">
        <f aca="false">'MASSIVE 25K'!C14</f>
        <v>Foysal Ahmed </v>
      </c>
      <c r="F204" s="2" t="str">
        <f aca="false">'MASSIVE 25K'!D14</f>
        <v>01766-952913</v>
      </c>
      <c r="G204" s="2" t="str">
        <f aca="false">'MASSIVE 25K'!E14</f>
        <v>01727-963314</v>
      </c>
      <c r="H204" s="2" t="n">
        <f aca="false">IFERROR(INDEX(ATT_DATA!$D$2:$D$231,MATCH($B204&amp;"||"&amp;$D204,ATT_DATA!$G$2:$G$231,0)),"")</f>
        <v>60</v>
      </c>
      <c r="I204" s="2" t="n">
        <f aca="false">IFERROR(INDEX(ATT_DATA!$E$2:$E$231,MATCH($B204&amp;"||"&amp;$D204,ATT_DATA!$G$2:$G$231,0)),"")</f>
        <v>5</v>
      </c>
      <c r="J204" s="2" t="n">
        <f aca="false">IFERROR(INDEX(ATT_DATA!$F$2:$F$231,MATCH($B204&amp;"||"&amp;$D204,ATT_DATA!$G$2:$G$231,0)),"")</f>
        <v>1</v>
      </c>
      <c r="K204" s="2" t="n">
        <f aca="false">IF(OR(H204="",ISNUMBER(H204)=FALSE()),"",H204+I204+J204)</f>
        <v>66</v>
      </c>
      <c r="L204" s="3" t="n">
        <f aca="false">IFERROR(H204/K204,"")</f>
        <v>0.909090909090909</v>
      </c>
    </row>
    <row r="205" customFormat="false" ht="15" hidden="false" customHeight="false" outlineLevel="0" collapsed="false">
      <c r="A205" s="2" t="n">
        <v>204</v>
      </c>
      <c r="B205" s="2" t="s">
        <v>26</v>
      </c>
      <c r="C205" s="2" t="s">
        <v>25</v>
      </c>
      <c r="D205" s="2" t="n">
        <f aca="false">'MASSIVE 25K'!B15</f>
        <v>25213</v>
      </c>
      <c r="E205" s="2" t="str">
        <f aca="false">'MASSIVE 25K'!C15</f>
        <v>Md Tanvir Bhuiyan</v>
      </c>
      <c r="F205" s="2" t="str">
        <f aca="false">'MASSIVE 25K'!D15</f>
        <v>01783-373127</v>
      </c>
      <c r="G205" s="2" t="str">
        <f aca="false">'MASSIVE 25K'!E15</f>
        <v>01813-607411</v>
      </c>
      <c r="H205" s="2" t="n">
        <f aca="false">IFERROR(INDEX(ATT_DATA!$D$2:$D$231,MATCH($B205&amp;"||"&amp;$D205,ATT_DATA!$G$2:$G$231,0)),"")</f>
        <v>50</v>
      </c>
      <c r="I205" s="2" t="n">
        <f aca="false">IFERROR(INDEX(ATT_DATA!$E$2:$E$231,MATCH($B205&amp;"||"&amp;$D205,ATT_DATA!$G$2:$G$231,0)),"")</f>
        <v>16</v>
      </c>
      <c r="J205" s="2" t="n">
        <f aca="false">IFERROR(INDEX(ATT_DATA!$F$2:$F$231,MATCH($B205&amp;"||"&amp;$D205,ATT_DATA!$G$2:$G$231,0)),"")</f>
        <v>0</v>
      </c>
      <c r="K205" s="2" t="n">
        <f aca="false">IF(OR(H205="",ISNUMBER(H205)=FALSE()),"",H205+I205+J205)</f>
        <v>66</v>
      </c>
      <c r="L205" s="3" t="n">
        <f aca="false">IFERROR(H205/K205,"")</f>
        <v>0.757575757575758</v>
      </c>
    </row>
    <row r="206" customFormat="false" ht="15" hidden="false" customHeight="false" outlineLevel="0" collapsed="false">
      <c r="A206" s="2" t="n">
        <v>205</v>
      </c>
      <c r="B206" s="2" t="s">
        <v>26</v>
      </c>
      <c r="C206" s="2" t="s">
        <v>25</v>
      </c>
      <c r="D206" s="2" t="n">
        <f aca="false">'MASSIVE 25K'!B16</f>
        <v>25214</v>
      </c>
      <c r="E206" s="2" t="str">
        <f aca="false">'MASSIVE 25K'!C16</f>
        <v>Salma Akter</v>
      </c>
      <c r="F206" s="2" t="str">
        <f aca="false">'MASSIVE 25K'!D16</f>
        <v>01951-640366</v>
      </c>
      <c r="G206" s="2" t="str">
        <f aca="false">'MASSIVE 25K'!E16</f>
        <v>01718-309320</v>
      </c>
      <c r="H206" s="2" t="n">
        <f aca="false">IFERROR(INDEX(ATT_DATA!$D$2:$D$231,MATCH($B206&amp;"||"&amp;$D206,ATT_DATA!$G$2:$G$231,0)),"")</f>
        <v>49</v>
      </c>
      <c r="I206" s="2" t="n">
        <f aca="false">IFERROR(INDEX(ATT_DATA!$E$2:$E$231,MATCH($B206&amp;"||"&amp;$D206,ATT_DATA!$G$2:$G$231,0)),"")</f>
        <v>16</v>
      </c>
      <c r="J206" s="2" t="n">
        <f aca="false">IFERROR(INDEX(ATT_DATA!$F$2:$F$231,MATCH($B206&amp;"||"&amp;$D206,ATT_DATA!$G$2:$G$231,0)),"")</f>
        <v>1</v>
      </c>
      <c r="K206" s="2" t="n">
        <f aca="false">IF(OR(H206="",ISNUMBER(H206)=FALSE()),"",H206+I206+J206)</f>
        <v>66</v>
      </c>
      <c r="L206" s="3" t="n">
        <f aca="false">IFERROR(H206/K206,"")</f>
        <v>0.742424242424242</v>
      </c>
    </row>
    <row r="207" customFormat="false" ht="15" hidden="false" customHeight="false" outlineLevel="0" collapsed="false">
      <c r="A207" s="2" t="n">
        <v>206</v>
      </c>
      <c r="B207" s="2" t="s">
        <v>26</v>
      </c>
      <c r="C207" s="2" t="s">
        <v>25</v>
      </c>
      <c r="D207" s="2" t="n">
        <f aca="false">'MASSIVE 25K'!B17</f>
        <v>25215</v>
      </c>
      <c r="E207" s="2" t="str">
        <f aca="false">'MASSIVE 25K'!C17</f>
        <v>Angon Sarkar</v>
      </c>
      <c r="F207" s="2" t="str">
        <f aca="false">'MASSIVE 25K'!D17</f>
        <v>01530-074774</v>
      </c>
      <c r="G207" s="2" t="str">
        <f aca="false">'MASSIVE 25K'!E17</f>
        <v>01988-164878</v>
      </c>
      <c r="H207" s="2" t="n">
        <f aca="false">IFERROR(INDEX(ATT_DATA!$D$2:$D$231,MATCH($B207&amp;"||"&amp;$D207,ATT_DATA!$G$2:$G$231,0)),"")</f>
        <v>60</v>
      </c>
      <c r="I207" s="2" t="n">
        <f aca="false">IFERROR(INDEX(ATT_DATA!$E$2:$E$231,MATCH($B207&amp;"||"&amp;$D207,ATT_DATA!$G$2:$G$231,0)),"")</f>
        <v>6</v>
      </c>
      <c r="J207" s="2" t="n">
        <f aca="false">IFERROR(INDEX(ATT_DATA!$F$2:$F$231,MATCH($B207&amp;"||"&amp;$D207,ATT_DATA!$G$2:$G$231,0)),"")</f>
        <v>0</v>
      </c>
      <c r="K207" s="2" t="n">
        <f aca="false">IF(OR(H207="",ISNUMBER(H207)=FALSE()),"",H207+I207+J207)</f>
        <v>66</v>
      </c>
      <c r="L207" s="3" t="n">
        <f aca="false">IFERROR(H207/K207,"")</f>
        <v>0.909090909090909</v>
      </c>
    </row>
    <row r="208" customFormat="false" ht="15" hidden="false" customHeight="false" outlineLevel="0" collapsed="false">
      <c r="A208" s="2" t="n">
        <v>207</v>
      </c>
      <c r="B208" s="2" t="s">
        <v>26</v>
      </c>
      <c r="C208" s="2" t="s">
        <v>25</v>
      </c>
      <c r="D208" s="2" t="n">
        <f aca="false">'MASSIVE 25K'!B18</f>
        <v>25216</v>
      </c>
      <c r="E208" s="2" t="str">
        <f aca="false">'MASSIVE 25K'!C18</f>
        <v>Yead Hasan</v>
      </c>
      <c r="F208" s="2" t="str">
        <f aca="false">'MASSIVE 25K'!D18</f>
        <v>01306-427452</v>
      </c>
      <c r="G208" s="2" t="str">
        <f aca="false">'MASSIVE 25K'!E18</f>
        <v>01915-8449778</v>
      </c>
      <c r="H208" s="2" t="n">
        <f aca="false">IFERROR(INDEX(ATT_DATA!$D$2:$D$231,MATCH($B208&amp;"||"&amp;$D208,ATT_DATA!$G$2:$G$231,0)),"")</f>
        <v>40</v>
      </c>
      <c r="I208" s="2" t="n">
        <f aca="false">IFERROR(INDEX(ATT_DATA!$E$2:$E$231,MATCH($B208&amp;"||"&amp;$D208,ATT_DATA!$G$2:$G$231,0)),"")</f>
        <v>23</v>
      </c>
      <c r="J208" s="2" t="n">
        <f aca="false">IFERROR(INDEX(ATT_DATA!$F$2:$F$231,MATCH($B208&amp;"||"&amp;$D208,ATT_DATA!$G$2:$G$231,0)),"")</f>
        <v>3</v>
      </c>
      <c r="K208" s="2" t="n">
        <f aca="false">IF(OR(H208="",ISNUMBER(H208)=FALSE()),"",H208+I208+J208)</f>
        <v>66</v>
      </c>
      <c r="L208" s="3" t="n">
        <f aca="false">IFERROR(H208/K208,"")</f>
        <v>0.606060606060606</v>
      </c>
    </row>
    <row r="209" customFormat="false" ht="15" hidden="false" customHeight="false" outlineLevel="0" collapsed="false">
      <c r="A209" s="2" t="n">
        <v>208</v>
      </c>
      <c r="B209" s="2" t="s">
        <v>26</v>
      </c>
      <c r="C209" s="2" t="s">
        <v>25</v>
      </c>
      <c r="D209" s="2" t="n">
        <f aca="false">'MASSIVE 25K'!B19</f>
        <v>25217</v>
      </c>
      <c r="E209" s="2" t="str">
        <f aca="false">'MASSIVE 25K'!C19</f>
        <v>Md Easin</v>
      </c>
      <c r="F209" s="2" t="str">
        <f aca="false">'MASSIVE 25K'!D19</f>
        <v>01717-941739</v>
      </c>
      <c r="G209" s="2" t="n">
        <f aca="false">'MASSIVE 25K'!E19</f>
        <v>0</v>
      </c>
      <c r="H209" s="2" t="n">
        <f aca="false">IFERROR(INDEX(ATT_DATA!$D$2:$D$231,MATCH($B209&amp;"||"&amp;$D209,ATT_DATA!$G$2:$G$231,0)),"")</f>
        <v>31</v>
      </c>
      <c r="I209" s="2" t="n">
        <f aca="false">IFERROR(INDEX(ATT_DATA!$E$2:$E$231,MATCH($B209&amp;"||"&amp;$D209,ATT_DATA!$G$2:$G$231,0)),"")</f>
        <v>34</v>
      </c>
      <c r="J209" s="2" t="n">
        <f aca="false">IFERROR(INDEX(ATT_DATA!$F$2:$F$231,MATCH($B209&amp;"||"&amp;$D209,ATT_DATA!$G$2:$G$231,0)),"")</f>
        <v>1</v>
      </c>
      <c r="K209" s="2" t="n">
        <f aca="false">IF(OR(H209="",ISNUMBER(H209)=FALSE()),"",H209+I209+J209)</f>
        <v>66</v>
      </c>
      <c r="L209" s="3" t="n">
        <f aca="false">IFERROR(H209/K209,"")</f>
        <v>0.46969696969697</v>
      </c>
    </row>
    <row r="210" customFormat="false" ht="15" hidden="false" customHeight="false" outlineLevel="0" collapsed="false">
      <c r="A210" s="2" t="n">
        <v>209</v>
      </c>
      <c r="B210" s="2" t="s">
        <v>26</v>
      </c>
      <c r="C210" s="2" t="s">
        <v>25</v>
      </c>
      <c r="D210" s="2" t="n">
        <f aca="false">'MASSIVE 25K'!B20</f>
        <v>25230</v>
      </c>
      <c r="E210" s="2" t="str">
        <f aca="false">'MASSIVE 25K'!C20</f>
        <v>Sadia Islam  </v>
      </c>
      <c r="F210" s="2" t="str">
        <f aca="false">'MASSIVE 25K'!D20</f>
        <v>01876-519488</v>
      </c>
      <c r="G210" s="2" t="str">
        <f aca="false">'MASSIVE 25K'!E20</f>
        <v>01727-749966</v>
      </c>
      <c r="H210" s="2" t="n">
        <f aca="false">IFERROR(INDEX(ATT_DATA!$D$2:$D$231,MATCH($B210&amp;"||"&amp;$D210,ATT_DATA!$G$2:$G$231,0)),"")</f>
        <v>7</v>
      </c>
      <c r="I210" s="2" t="n">
        <f aca="false">IFERROR(INDEX(ATT_DATA!$E$2:$E$231,MATCH($B210&amp;"||"&amp;$D210,ATT_DATA!$G$2:$G$231,0)),"")</f>
        <v>12</v>
      </c>
      <c r="J210" s="2" t="n">
        <f aca="false">IFERROR(INDEX(ATT_DATA!$F$2:$F$231,MATCH($B210&amp;"||"&amp;$D210,ATT_DATA!$G$2:$G$231,0)),"")</f>
        <v>0</v>
      </c>
      <c r="K210" s="2" t="n">
        <f aca="false">IF(OR(H210="",ISNUMBER(H210)=FALSE()),"",H210+I210+J210)</f>
        <v>19</v>
      </c>
      <c r="L210" s="3" t="n">
        <f aca="false">IFERROR(H210/K210,"")</f>
        <v>0.368421052631579</v>
      </c>
    </row>
    <row r="211" customFormat="false" ht="15" hidden="false" customHeight="false" outlineLevel="0" collapsed="false">
      <c r="A211" s="2" t="n">
        <v>210</v>
      </c>
      <c r="B211" s="2" t="s">
        <v>26</v>
      </c>
      <c r="C211" s="2" t="s">
        <v>25</v>
      </c>
      <c r="D211" s="2" t="n">
        <f aca="false">'MASSIVE 25K'!B21</f>
        <v>25231</v>
      </c>
      <c r="E211" s="2" t="str">
        <f aca="false">'MASSIVE 25K'!C21</f>
        <v>Boishakhi Akter</v>
      </c>
      <c r="F211" s="2" t="str">
        <f aca="false">'MASSIVE 25K'!D21</f>
        <v>01969-023576</v>
      </c>
      <c r="G211" s="2" t="str">
        <f aca="false">'MASSIVE 25K'!E21</f>
        <v>01772-298186</v>
      </c>
      <c r="H211" s="2" t="n">
        <f aca="false">IFERROR(INDEX(ATT_DATA!$D$2:$D$231,MATCH($B211&amp;"||"&amp;$D211,ATT_DATA!$G$2:$G$231,0)),"")</f>
        <v>7</v>
      </c>
      <c r="I211" s="2" t="n">
        <f aca="false">IFERROR(INDEX(ATT_DATA!$E$2:$E$231,MATCH($B211&amp;"||"&amp;$D211,ATT_DATA!$G$2:$G$231,0)),"")</f>
        <v>12</v>
      </c>
      <c r="J211" s="2" t="n">
        <f aca="false">IFERROR(INDEX(ATT_DATA!$F$2:$F$231,MATCH($B211&amp;"||"&amp;$D211,ATT_DATA!$G$2:$G$231,0)),"")</f>
        <v>0</v>
      </c>
      <c r="K211" s="2" t="n">
        <f aca="false">IF(OR(H211="",ISNUMBER(H211)=FALSE()),"",H211+I211+J211)</f>
        <v>19</v>
      </c>
      <c r="L211" s="3" t="n">
        <f aca="false">IFERROR(H211/K211,"")</f>
        <v>0.368421052631579</v>
      </c>
    </row>
    <row r="212" customFormat="false" ht="15" hidden="false" customHeight="false" outlineLevel="0" collapsed="false">
      <c r="A212" s="2" t="n">
        <v>211</v>
      </c>
      <c r="B212" s="2" t="s">
        <v>27</v>
      </c>
      <c r="C212" s="2" t="s">
        <v>25</v>
      </c>
      <c r="D212" s="2" t="n">
        <f aca="false">'MJLI-12'!B4</f>
        <v>25221</v>
      </c>
      <c r="E212" s="2" t="str">
        <f aca="false">'MJLI-12'!C4</f>
        <v>MD ASHRAFUL</v>
      </c>
      <c r="F212" s="2" t="str">
        <f aca="false">'MJLI-12'!D4</f>
        <v>01787-108095</v>
      </c>
      <c r="G212" s="2" t="str">
        <f aca="false">'MJLI-12'!E4</f>
        <v>01787-108095</v>
      </c>
      <c r="H212" s="2" t="str">
        <f aca="false">IFERROR(INDEX(ATT_DATA!$D$2:$D$231,MATCH($B212&amp;"||"&amp;$D212,ATT_DATA!$G$2:$G$231,0)),"")</f>
        <v/>
      </c>
      <c r="I212" s="2" t="str">
        <f aca="false">IFERROR(INDEX(ATT_DATA!$E$2:$E$231,MATCH($B212&amp;"||"&amp;$D212,ATT_DATA!$G$2:$G$231,0)),"")</f>
        <v/>
      </c>
      <c r="J212" s="2" t="str">
        <f aca="false">IFERROR(INDEX(ATT_DATA!$F$2:$F$231,MATCH($B212&amp;"||"&amp;$D212,ATT_DATA!$G$2:$G$231,0)),"")</f>
        <v/>
      </c>
      <c r="K212" s="2" t="str">
        <f aca="false">IF(OR(H212="",ISNUMBER(H212)=FALSE()),"",H212+I212+J212)</f>
        <v/>
      </c>
      <c r="L212" s="3" t="str">
        <f aca="false">IFERROR(H212/K212,"")</f>
        <v/>
      </c>
    </row>
    <row r="213" customFormat="false" ht="15" hidden="false" customHeight="false" outlineLevel="0" collapsed="false">
      <c r="A213" s="2" t="n">
        <v>212</v>
      </c>
      <c r="B213" s="2" t="s">
        <v>27</v>
      </c>
      <c r="C213" s="2" t="s">
        <v>25</v>
      </c>
      <c r="D213" s="2" t="n">
        <f aca="false">'MJLI-12'!B5</f>
        <v>25226</v>
      </c>
      <c r="E213" s="2" t="str">
        <f aca="false">'MJLI-12'!C5</f>
        <v>AYON SAHA</v>
      </c>
      <c r="F213" s="2" t="str">
        <f aca="false">'MJLI-12'!D5</f>
        <v>01647-148607</v>
      </c>
      <c r="G213" s="2" t="str">
        <f aca="false">'MJLI-12'!E5</f>
        <v>01725-770875</v>
      </c>
      <c r="H213" s="2" t="n">
        <f aca="false">IFERROR(INDEX(ATT_DATA!$D$2:$D$231,MATCH($B213&amp;"||"&amp;$D213,ATT_DATA!$G$2:$G$231,0)),"")</f>
        <v>23</v>
      </c>
      <c r="I213" s="2" t="n">
        <f aca="false">IFERROR(INDEX(ATT_DATA!$E$2:$E$231,MATCH($B213&amp;"||"&amp;$D213,ATT_DATA!$G$2:$G$231,0)),"")</f>
        <v>26</v>
      </c>
      <c r="J213" s="2" t="n">
        <f aca="false">IFERROR(INDEX(ATT_DATA!$F$2:$F$231,MATCH($B213&amp;"||"&amp;$D213,ATT_DATA!$G$2:$G$231,0)),"")</f>
        <v>2</v>
      </c>
      <c r="K213" s="2" t="n">
        <f aca="false">IF(OR(H213="",ISNUMBER(H213)=FALSE()),"",H213+I213+J213)</f>
        <v>51</v>
      </c>
      <c r="L213" s="3" t="n">
        <f aca="false">IFERROR(H213/K213,"")</f>
        <v>0.450980392156863</v>
      </c>
    </row>
    <row r="214" customFormat="false" ht="15" hidden="false" customHeight="false" outlineLevel="0" collapsed="false">
      <c r="A214" s="2" t="n">
        <v>213</v>
      </c>
      <c r="B214" s="2" t="s">
        <v>27</v>
      </c>
      <c r="C214" s="2" t="s">
        <v>25</v>
      </c>
      <c r="D214" s="2" t="n">
        <f aca="false">'MJLI-12'!B6</f>
        <v>25228</v>
      </c>
      <c r="E214" s="2" t="str">
        <f aca="false">'MJLI-12'!C6</f>
        <v>MORSALIN SHEIKH</v>
      </c>
      <c r="F214" s="2" t="str">
        <f aca="false">'MJLI-12'!D6</f>
        <v>01328-237431</v>
      </c>
      <c r="G214" s="2" t="str">
        <f aca="false">'MJLI-12'!E6</f>
        <v>01595-057239</v>
      </c>
      <c r="H214" s="2" t="n">
        <f aca="false">IFERROR(INDEX(ATT_DATA!$D$2:$D$231,MATCH($B214&amp;"||"&amp;$D214,ATT_DATA!$G$2:$G$231,0)),"")</f>
        <v>54</v>
      </c>
      <c r="I214" s="2" t="n">
        <f aca="false">IFERROR(INDEX(ATT_DATA!$E$2:$E$231,MATCH($B214&amp;"||"&amp;$D214,ATT_DATA!$G$2:$G$231,0)),"")</f>
        <v>5</v>
      </c>
      <c r="J214" s="2" t="n">
        <f aca="false">IFERROR(INDEX(ATT_DATA!$F$2:$F$231,MATCH($B214&amp;"||"&amp;$D214,ATT_DATA!$G$2:$G$231,0)),"")</f>
        <v>2</v>
      </c>
      <c r="K214" s="2" t="n">
        <f aca="false">IF(OR(H214="",ISNUMBER(H214)=FALSE()),"",H214+I214+J214)</f>
        <v>61</v>
      </c>
      <c r="L214" s="3" t="n">
        <f aca="false">IFERROR(H214/K214,"")</f>
        <v>0.885245901639344</v>
      </c>
    </row>
    <row r="215" customFormat="false" ht="15" hidden="false" customHeight="false" outlineLevel="0" collapsed="false">
      <c r="A215" s="2" t="n">
        <v>214</v>
      </c>
      <c r="B215" s="2" t="s">
        <v>27</v>
      </c>
      <c r="C215" s="2" t="s">
        <v>25</v>
      </c>
      <c r="D215" s="2" t="n">
        <f aca="false">'MJLI-12'!B7</f>
        <v>25229</v>
      </c>
      <c r="E215" s="2" t="str">
        <f aca="false">'MJLI-12'!C7</f>
        <v>RIFAT HOSSEN</v>
      </c>
      <c r="F215" s="2" t="str">
        <f aca="false">'MJLI-12'!D7</f>
        <v>01735-472206</v>
      </c>
      <c r="G215" s="2" t="str">
        <f aca="false">'MJLI-12'!E7</f>
        <v>01724-778279</v>
      </c>
      <c r="H215" s="2" t="n">
        <f aca="false">IFERROR(INDEX(ATT_DATA!$D$2:$D$231,MATCH($B215&amp;"||"&amp;$D215,ATT_DATA!$G$2:$G$231,0)),"")</f>
        <v>54</v>
      </c>
      <c r="I215" s="2" t="n">
        <f aca="false">IFERROR(INDEX(ATT_DATA!$E$2:$E$231,MATCH($B215&amp;"||"&amp;$D215,ATT_DATA!$G$2:$G$231,0)),"")</f>
        <v>7</v>
      </c>
      <c r="J215" s="2" t="n">
        <f aca="false">IFERROR(INDEX(ATT_DATA!$F$2:$F$231,MATCH($B215&amp;"||"&amp;$D215,ATT_DATA!$G$2:$G$231,0)),"")</f>
        <v>0</v>
      </c>
      <c r="K215" s="2" t="n">
        <f aca="false">IF(OR(H215="",ISNUMBER(H215)=FALSE()),"",H215+I215+J215)</f>
        <v>61</v>
      </c>
      <c r="L215" s="3" t="n">
        <f aca="false">IFERROR(H215/K215,"")</f>
        <v>0.885245901639344</v>
      </c>
    </row>
    <row r="216" customFormat="false" ht="15" hidden="false" customHeight="false" outlineLevel="0" collapsed="false">
      <c r="A216" s="2" t="n">
        <v>215</v>
      </c>
      <c r="B216" s="2" t="s">
        <v>27</v>
      </c>
      <c r="C216" s="2" t="s">
        <v>25</v>
      </c>
      <c r="D216" s="2" t="n">
        <f aca="false">'MJLI-12'!B8</f>
        <v>25181</v>
      </c>
      <c r="E216" s="2" t="str">
        <f aca="false">'MJLI-12'!C8</f>
        <v>MD  JUNAYED HOSSAIN OMI</v>
      </c>
      <c r="F216" s="2" t="str">
        <f aca="false">'MJLI-12'!D8</f>
        <v>01302-601415</v>
      </c>
      <c r="G216" s="2" t="str">
        <f aca="false">'MJLI-12'!E8</f>
        <v>01302-601415</v>
      </c>
      <c r="H216" s="2" t="n">
        <f aca="false">IFERROR(INDEX(ATT_DATA!$D$2:$D$231,MATCH($B216&amp;"||"&amp;$D216,ATT_DATA!$G$2:$G$231,0)),"")</f>
        <v>48</v>
      </c>
      <c r="I216" s="2" t="n">
        <f aca="false">IFERROR(INDEX(ATT_DATA!$E$2:$E$231,MATCH($B216&amp;"||"&amp;$D216,ATT_DATA!$G$2:$G$231,0)),"")</f>
        <v>10</v>
      </c>
      <c r="J216" s="2" t="n">
        <f aca="false">IFERROR(INDEX(ATT_DATA!$F$2:$F$231,MATCH($B216&amp;"||"&amp;$D216,ATT_DATA!$G$2:$G$231,0)),"")</f>
        <v>3</v>
      </c>
      <c r="K216" s="2" t="n">
        <f aca="false">IF(OR(H216="",ISNUMBER(H216)=FALSE()),"",H216+I216+J216)</f>
        <v>61</v>
      </c>
      <c r="L216" s="3" t="n">
        <f aca="false">IFERROR(H216/K216,"")</f>
        <v>0.786885245901639</v>
      </c>
    </row>
    <row r="217" customFormat="false" ht="15" hidden="false" customHeight="false" outlineLevel="0" collapsed="false">
      <c r="A217" s="2" t="n">
        <v>216</v>
      </c>
      <c r="B217" s="2" t="s">
        <v>27</v>
      </c>
      <c r="C217" s="2" t="s">
        <v>25</v>
      </c>
      <c r="D217" s="2" t="n">
        <f aca="false">'MJLI-12'!B9</f>
        <v>26244</v>
      </c>
      <c r="E217" s="2" t="str">
        <f aca="false">'MJLI-12'!C9</f>
        <v>SUMAIYA ISLAM</v>
      </c>
      <c r="F217" s="2" t="str">
        <f aca="false">'MJLI-12'!D9</f>
        <v>01904-289237</v>
      </c>
      <c r="G217" s="2" t="str">
        <f aca="false">'MJLI-12'!E9</f>
        <v>01820-118616</v>
      </c>
      <c r="H217" s="2" t="str">
        <f aca="false">IFERROR(INDEX(ATT_DATA!$D$2:$D$231,MATCH($B217&amp;"||"&amp;$D217,ATT_DATA!$G$2:$G$231,0)),"")</f>
        <v/>
      </c>
      <c r="I217" s="2" t="str">
        <f aca="false">IFERROR(INDEX(ATT_DATA!$E$2:$E$231,MATCH($B217&amp;"||"&amp;$D217,ATT_DATA!$G$2:$G$231,0)),"")</f>
        <v/>
      </c>
      <c r="J217" s="2" t="str">
        <f aca="false">IFERROR(INDEX(ATT_DATA!$F$2:$F$231,MATCH($B217&amp;"||"&amp;$D217,ATT_DATA!$G$2:$G$231,0)),"")</f>
        <v/>
      </c>
      <c r="K217" s="2" t="str">
        <f aca="false">IF(OR(H217="",ISNUMBER(H217)=FALSE()),"",H217+I217+J217)</f>
        <v/>
      </c>
      <c r="L217" s="3" t="str">
        <f aca="false">IFERROR(H217/K217,"")</f>
        <v/>
      </c>
    </row>
    <row r="218" customFormat="false" ht="15" hidden="false" customHeight="false" outlineLevel="0" collapsed="false">
      <c r="A218" s="2" t="n">
        <v>217</v>
      </c>
      <c r="B218" s="2" t="s">
        <v>27</v>
      </c>
      <c r="C218" s="2" t="s">
        <v>25</v>
      </c>
      <c r="D218" s="2" t="n">
        <f aca="false">'MJLI-12'!B10</f>
        <v>25198</v>
      </c>
      <c r="E218" s="2" t="str">
        <f aca="false">'MJLI-12'!C10</f>
        <v>Mohammad Abdullah</v>
      </c>
      <c r="F218" s="2" t="str">
        <f aca="false">'MJLI-12'!D10</f>
        <v>01606-588070</v>
      </c>
      <c r="G218" s="2" t="n">
        <f aca="false">'MJLI-12'!E10</f>
        <v>0</v>
      </c>
      <c r="H218" s="2" t="str">
        <f aca="false">IFERROR(INDEX(ATT_DATA!$D$2:$D$231,MATCH($B218&amp;"||"&amp;$D218,ATT_DATA!$G$2:$G$231,0)),"")</f>
        <v/>
      </c>
      <c r="I218" s="2" t="str">
        <f aca="false">IFERROR(INDEX(ATT_DATA!$E$2:$E$231,MATCH($B218&amp;"||"&amp;$D218,ATT_DATA!$G$2:$G$231,0)),"")</f>
        <v/>
      </c>
      <c r="J218" s="2" t="str">
        <f aca="false">IFERROR(INDEX(ATT_DATA!$F$2:$F$231,MATCH($B218&amp;"||"&amp;$D218,ATT_DATA!$G$2:$G$231,0)),"")</f>
        <v/>
      </c>
      <c r="K218" s="2" t="str">
        <f aca="false">IF(OR(H218="",ISNUMBER(H218)=FALSE()),"",H218+I218+J218)</f>
        <v/>
      </c>
      <c r="L218" s="3" t="str">
        <f aca="false">IFERROR(H218/K218,"")</f>
        <v/>
      </c>
    </row>
    <row r="219" customFormat="false" ht="15" hidden="false" customHeight="false" outlineLevel="0" collapsed="false">
      <c r="A219" s="2" t="n">
        <v>218</v>
      </c>
      <c r="B219" s="2" t="s">
        <v>27</v>
      </c>
      <c r="C219" s="2" t="s">
        <v>25</v>
      </c>
      <c r="D219" s="2" t="n">
        <f aca="false">'MJLI-12'!B11</f>
        <v>25184</v>
      </c>
      <c r="E219" s="2" t="str">
        <f aca="false">'MJLI-12'!C11</f>
        <v>RAYHAN MIAH</v>
      </c>
      <c r="F219" s="2" t="str">
        <f aca="false">'MJLI-12'!D11</f>
        <v>01568-531847</v>
      </c>
      <c r="G219" s="2" t="str">
        <f aca="false">'MJLI-12'!E11</f>
        <v>01581-860242</v>
      </c>
      <c r="H219" s="2" t="str">
        <f aca="false">IFERROR(INDEX(ATT_DATA!$D$2:$D$231,MATCH($B219&amp;"||"&amp;$D219,ATT_DATA!$G$2:$G$231,0)),"")</f>
        <v/>
      </c>
      <c r="I219" s="2" t="str">
        <f aca="false">IFERROR(INDEX(ATT_DATA!$E$2:$E$231,MATCH($B219&amp;"||"&amp;$D219,ATT_DATA!$G$2:$G$231,0)),"")</f>
        <v/>
      </c>
      <c r="J219" s="2" t="str">
        <f aca="false">IFERROR(INDEX(ATT_DATA!$F$2:$F$231,MATCH($B219&amp;"||"&amp;$D219,ATT_DATA!$G$2:$G$231,0)),"")</f>
        <v/>
      </c>
      <c r="K219" s="2" t="str">
        <f aca="false">IF(OR(H219="",ISNUMBER(H219)=FALSE()),"",H219+I219+J219)</f>
        <v/>
      </c>
      <c r="L219" s="3" t="str">
        <f aca="false">IFERROR(H219/K219,"")</f>
        <v/>
      </c>
    </row>
    <row r="220" customFormat="false" ht="15" hidden="false" customHeight="false" outlineLevel="0" collapsed="false">
      <c r="A220" s="2" t="n">
        <v>219</v>
      </c>
      <c r="B220" s="2" t="s">
        <v>27</v>
      </c>
      <c r="C220" s="2" t="s">
        <v>25</v>
      </c>
      <c r="D220" s="2" t="n">
        <f aca="false">'MJLI-12'!B12</f>
        <v>25161</v>
      </c>
      <c r="E220" s="2" t="str">
        <f aca="false">'MJLI-12'!C12</f>
        <v>KAWSHAR HASAN SUMIT</v>
      </c>
      <c r="F220" s="2" t="str">
        <f aca="false">'MJLI-12'!D12</f>
        <v>01300-774779</v>
      </c>
      <c r="G220" s="2" t="str">
        <f aca="false">'MJLI-12'!E12</f>
        <v>01778-226707</v>
      </c>
      <c r="H220" s="2" t="str">
        <f aca="false">IFERROR(INDEX(ATT_DATA!$D$2:$D$231,MATCH($B220&amp;"||"&amp;$D220,ATT_DATA!$G$2:$G$231,0)),"")</f>
        <v/>
      </c>
      <c r="I220" s="2" t="str">
        <f aca="false">IFERROR(INDEX(ATT_DATA!$E$2:$E$231,MATCH($B220&amp;"||"&amp;$D220,ATT_DATA!$G$2:$G$231,0)),"")</f>
        <v/>
      </c>
      <c r="J220" s="2" t="str">
        <f aca="false">IFERROR(INDEX(ATT_DATA!$F$2:$F$231,MATCH($B220&amp;"||"&amp;$D220,ATT_DATA!$G$2:$G$231,0)),"")</f>
        <v/>
      </c>
      <c r="K220" s="2" t="str">
        <f aca="false">IF(OR(H220="",ISNUMBER(H220)=FALSE()),"",H220+I220+J220)</f>
        <v/>
      </c>
      <c r="L220" s="3" t="str">
        <f aca="false">IFERROR(H220/K220,"")</f>
        <v/>
      </c>
    </row>
    <row r="221" customFormat="false" ht="15" hidden="false" customHeight="false" outlineLevel="0" collapsed="false">
      <c r="A221" s="2" t="n">
        <v>220</v>
      </c>
      <c r="B221" s="2" t="s">
        <v>27</v>
      </c>
      <c r="C221" s="2" t="s">
        <v>25</v>
      </c>
      <c r="D221" s="2" t="n">
        <f aca="false">'MJLI-12'!B13</f>
        <v>25235</v>
      </c>
      <c r="E221" s="2" t="str">
        <f aca="false">'MJLI-12'!C13</f>
        <v>JANNATUL FERDOUS AHONA</v>
      </c>
      <c r="F221" s="2" t="str">
        <f aca="false">'MJLI-12'!D13</f>
        <v>01629-427117</v>
      </c>
      <c r="G221" s="2" t="str">
        <f aca="false">'MJLI-12'!E13</f>
        <v>01676-474979</v>
      </c>
      <c r="H221" s="2" t="n">
        <f aca="false">IFERROR(INDEX(ATT_DATA!$D$2:$D$231,MATCH($B221&amp;"||"&amp;$D221,ATT_DATA!$G$2:$G$231,0)),"")</f>
        <v>18</v>
      </c>
      <c r="I221" s="2" t="n">
        <f aca="false">IFERROR(INDEX(ATT_DATA!$E$2:$E$231,MATCH($B221&amp;"||"&amp;$D221,ATT_DATA!$G$2:$G$231,0)),"")</f>
        <v>0</v>
      </c>
      <c r="J221" s="2" t="n">
        <f aca="false">IFERROR(INDEX(ATT_DATA!$F$2:$F$231,MATCH($B221&amp;"||"&amp;$D221,ATT_DATA!$G$2:$G$231,0)),"")</f>
        <v>2</v>
      </c>
      <c r="K221" s="2" t="n">
        <f aca="false">IF(OR(H221="",ISNUMBER(H221)=FALSE()),"",H221+I221+J221)</f>
        <v>20</v>
      </c>
      <c r="L221" s="3" t="n">
        <f aca="false">IFERROR(H221/K221,"")</f>
        <v>0.9</v>
      </c>
    </row>
    <row r="222" customFormat="false" ht="15" hidden="false" customHeight="false" outlineLevel="0" collapsed="false">
      <c r="A222" s="2" t="n">
        <v>221</v>
      </c>
      <c r="B222" s="2" t="s">
        <v>27</v>
      </c>
      <c r="C222" s="2" t="s">
        <v>25</v>
      </c>
      <c r="D222" s="2" t="n">
        <f aca="false">'MJLI-12'!B14</f>
        <v>25236</v>
      </c>
      <c r="E222" s="2" t="str">
        <f aca="false">'MJLI-12'!C14</f>
        <v>BIDHAN  CHANDRA MONDAL </v>
      </c>
      <c r="F222" s="2" t="str">
        <f aca="false">'MJLI-12'!D14</f>
        <v>01817-470730</v>
      </c>
      <c r="G222" s="2" t="str">
        <f aca="false">'MJLI-12'!E14</f>
        <v>01865-728884</v>
      </c>
      <c r="H222" s="2" t="n">
        <f aca="false">IFERROR(INDEX(ATT_DATA!$D$2:$D$231,MATCH($B222&amp;"||"&amp;$D222,ATT_DATA!$G$2:$G$231,0)),"")</f>
        <v>20</v>
      </c>
      <c r="I222" s="2" t="n">
        <f aca="false">IFERROR(INDEX(ATT_DATA!$E$2:$E$231,MATCH($B222&amp;"||"&amp;$D222,ATT_DATA!$G$2:$G$231,0)),"")</f>
        <v>0</v>
      </c>
      <c r="J222" s="2" t="n">
        <f aca="false">IFERROR(INDEX(ATT_DATA!$F$2:$F$231,MATCH($B222&amp;"||"&amp;$D222,ATT_DATA!$G$2:$G$231,0)),"")</f>
        <v>0</v>
      </c>
      <c r="K222" s="2" t="n">
        <f aca="false">IF(OR(H222="",ISNUMBER(H222)=FALSE()),"",H222+I222+J222)</f>
        <v>20</v>
      </c>
      <c r="L222" s="3" t="n">
        <f aca="false">IFERROR(H222/K222,"")</f>
        <v>1</v>
      </c>
    </row>
    <row r="223" customFormat="false" ht="15" hidden="false" customHeight="false" outlineLevel="0" collapsed="false">
      <c r="A223" s="2" t="n">
        <v>222</v>
      </c>
      <c r="B223" s="2" t="s">
        <v>28</v>
      </c>
      <c r="C223" s="2" t="s">
        <v>29</v>
      </c>
      <c r="D223" s="2" t="n">
        <f aca="false">'MJLI-13'!B4</f>
        <v>25232</v>
      </c>
      <c r="E223" s="2" t="str">
        <f aca="false">'MJLI-13'!C4</f>
        <v>TONMOY DAS</v>
      </c>
      <c r="F223" s="2" t="str">
        <f aca="false">'MJLI-13'!D4</f>
        <v>01877-814141</v>
      </c>
      <c r="G223" s="2" t="str">
        <f aca="false">'MJLI-13'!E4</f>
        <v>01760-592788</v>
      </c>
      <c r="H223" s="2" t="n">
        <f aca="false">IFERROR(INDEX(ATT_DATA!$D$2:$D$231,MATCH($B223&amp;"||"&amp;$D223,ATT_DATA!$G$2:$G$231,0)),"")</f>
        <v>10</v>
      </c>
      <c r="I223" s="2" t="n">
        <f aca="false">IFERROR(INDEX(ATT_DATA!$E$2:$E$231,MATCH($B223&amp;"||"&amp;$D223,ATT_DATA!$G$2:$G$231,0)),"")</f>
        <v>24</v>
      </c>
      <c r="J223" s="2" t="n">
        <f aca="false">IFERROR(INDEX(ATT_DATA!$F$2:$F$231,MATCH($B223&amp;"||"&amp;$D223,ATT_DATA!$G$2:$G$231,0)),"")</f>
        <v>1</v>
      </c>
      <c r="K223" s="2" t="n">
        <f aca="false">IF(OR(H223="",ISNUMBER(H223)=FALSE()),"",H223+I223+J223)</f>
        <v>35</v>
      </c>
      <c r="L223" s="3" t="n">
        <f aca="false">IFERROR(H223/K223,"")</f>
        <v>0.285714285714286</v>
      </c>
    </row>
    <row r="224" customFormat="false" ht="15" hidden="false" customHeight="false" outlineLevel="0" collapsed="false">
      <c r="A224" s="2" t="n">
        <v>223</v>
      </c>
      <c r="B224" s="2" t="s">
        <v>28</v>
      </c>
      <c r="C224" s="2" t="s">
        <v>29</v>
      </c>
      <c r="D224" s="2" t="n">
        <f aca="false">'MJLI-13'!B5</f>
        <v>25233</v>
      </c>
      <c r="E224" s="2" t="str">
        <f aca="false">'MJLI-13'!C5</f>
        <v>SHOVO DAS</v>
      </c>
      <c r="F224" s="2" t="str">
        <f aca="false">'MJLI-13'!D5</f>
        <v>01781-847450</v>
      </c>
      <c r="G224" s="2" t="str">
        <f aca="false">'MJLI-13'!E5</f>
        <v>01722-006745</v>
      </c>
      <c r="H224" s="2" t="n">
        <f aca="false">IFERROR(INDEX(ATT_DATA!$D$2:$D$231,MATCH($B224&amp;"||"&amp;$D224,ATT_DATA!$G$2:$G$231,0)),"")</f>
        <v>9</v>
      </c>
      <c r="I224" s="2" t="n">
        <f aca="false">IFERROR(INDEX(ATT_DATA!$E$2:$E$231,MATCH($B224&amp;"||"&amp;$D224,ATT_DATA!$G$2:$G$231,0)),"")</f>
        <v>26</v>
      </c>
      <c r="J224" s="2" t="n">
        <f aca="false">IFERROR(INDEX(ATT_DATA!$F$2:$F$231,MATCH($B224&amp;"||"&amp;$D224,ATT_DATA!$G$2:$G$231,0)),"")</f>
        <v>0</v>
      </c>
      <c r="K224" s="2" t="n">
        <f aca="false">IF(OR(H224="",ISNUMBER(H224)=FALSE()),"",H224+I224+J224)</f>
        <v>35</v>
      </c>
      <c r="L224" s="3" t="n">
        <f aca="false">IFERROR(H224/K224,"")</f>
        <v>0.257142857142857</v>
      </c>
    </row>
    <row r="225" customFormat="false" ht="15" hidden="false" customHeight="false" outlineLevel="0" collapsed="false">
      <c r="A225" s="2" t="n">
        <v>224</v>
      </c>
      <c r="B225" s="2" t="s">
        <v>28</v>
      </c>
      <c r="C225" s="2" t="s">
        <v>29</v>
      </c>
      <c r="D225" s="2" t="n">
        <f aca="false">'MJLI-13'!B6</f>
        <v>25234</v>
      </c>
      <c r="E225" s="2" t="str">
        <f aca="false">'MJLI-13'!C6</f>
        <v>MD NOMAN</v>
      </c>
      <c r="F225" s="2" t="str">
        <f aca="false">'MJLI-13'!D6</f>
        <v>01404-938126</v>
      </c>
      <c r="G225" s="2" t="str">
        <f aca="false">'MJLI-13'!E6</f>
        <v>01991-573706</v>
      </c>
      <c r="H225" s="2" t="n">
        <f aca="false">IFERROR(INDEX(ATT_DATA!$D$2:$D$231,MATCH($B225&amp;"||"&amp;$D225,ATT_DATA!$G$2:$G$231,0)),"")</f>
        <v>25</v>
      </c>
      <c r="I225" s="2" t="n">
        <f aca="false">IFERROR(INDEX(ATT_DATA!$E$2:$E$231,MATCH($B225&amp;"||"&amp;$D225,ATT_DATA!$G$2:$G$231,0)),"")</f>
        <v>8</v>
      </c>
      <c r="J225" s="2" t="n">
        <f aca="false">IFERROR(INDEX(ATT_DATA!$F$2:$F$231,MATCH($B225&amp;"||"&amp;$D225,ATT_DATA!$G$2:$G$231,0)),"")</f>
        <v>2</v>
      </c>
      <c r="K225" s="2" t="n">
        <f aca="false">IF(OR(H225="",ISNUMBER(H225)=FALSE()),"",H225+I225+J225)</f>
        <v>35</v>
      </c>
      <c r="L225" s="3" t="n">
        <f aca="false">IFERROR(H225/K225,"")</f>
        <v>0.714285714285714</v>
      </c>
    </row>
    <row r="226" customFormat="false" ht="15" hidden="false" customHeight="false" outlineLevel="0" collapsed="false">
      <c r="A226" s="2" t="n">
        <v>225</v>
      </c>
      <c r="B226" s="2" t="s">
        <v>28</v>
      </c>
      <c r="C226" s="2" t="s">
        <v>29</v>
      </c>
      <c r="D226" s="2" t="n">
        <f aca="false">'MJLI-13'!B7</f>
        <v>25237</v>
      </c>
      <c r="E226" s="2" t="str">
        <f aca="false">'MJLI-13'!C7</f>
        <v>SIFAT</v>
      </c>
      <c r="F226" s="2" t="str">
        <f aca="false">'MJLI-13'!D7</f>
        <v>01307-717082</v>
      </c>
      <c r="G226" s="2" t="str">
        <f aca="false">'MJLI-13'!E7</f>
        <v>01611-953126</v>
      </c>
      <c r="H226" s="2" t="n">
        <f aca="false">IFERROR(INDEX(ATT_DATA!$D$2:$D$231,MATCH($B226&amp;"||"&amp;$D226,ATT_DATA!$G$2:$G$231,0)),"")</f>
        <v>28</v>
      </c>
      <c r="I226" s="2" t="n">
        <f aca="false">IFERROR(INDEX(ATT_DATA!$E$2:$E$231,MATCH($B226&amp;"||"&amp;$D226,ATT_DATA!$G$2:$G$231,0)),"")</f>
        <v>4</v>
      </c>
      <c r="J226" s="2" t="n">
        <f aca="false">IFERROR(INDEX(ATT_DATA!$F$2:$F$231,MATCH($B226&amp;"||"&amp;$D226,ATT_DATA!$G$2:$G$231,0)),"")</f>
        <v>3</v>
      </c>
      <c r="K226" s="2" t="n">
        <f aca="false">IF(OR(H226="",ISNUMBER(H226)=FALSE()),"",H226+I226+J226)</f>
        <v>35</v>
      </c>
      <c r="L226" s="3" t="n">
        <f aca="false">IFERROR(H226/K226,"")</f>
        <v>0.8</v>
      </c>
    </row>
    <row r="227" customFormat="false" ht="15" hidden="false" customHeight="false" outlineLevel="0" collapsed="false">
      <c r="A227" s="2" t="n">
        <v>226</v>
      </c>
      <c r="B227" s="2" t="s">
        <v>28</v>
      </c>
      <c r="C227" s="2" t="s">
        <v>29</v>
      </c>
      <c r="D227" s="2" t="n">
        <f aca="false">'MJLI-13'!B8</f>
        <v>25238</v>
      </c>
      <c r="E227" s="2" t="str">
        <f aca="false">'MJLI-13'!C8</f>
        <v>ROSNI AKTER</v>
      </c>
      <c r="F227" s="2" t="str">
        <f aca="false">'MJLI-13'!D8</f>
        <v>01996-412874</v>
      </c>
      <c r="G227" s="2" t="str">
        <f aca="false">'MJLI-13'!E8</f>
        <v>01796-579940</v>
      </c>
      <c r="H227" s="2" t="n">
        <f aca="false">IFERROR(INDEX(ATT_DATA!$D$2:$D$231,MATCH($B227&amp;"||"&amp;$D227,ATT_DATA!$G$2:$G$231,0)),"")</f>
        <v>30</v>
      </c>
      <c r="I227" s="2" t="n">
        <f aca="false">IFERROR(INDEX(ATT_DATA!$E$2:$E$231,MATCH($B227&amp;"||"&amp;$D227,ATT_DATA!$G$2:$G$231,0)),"")</f>
        <v>3</v>
      </c>
      <c r="J227" s="2" t="n">
        <f aca="false">IFERROR(INDEX(ATT_DATA!$F$2:$F$231,MATCH($B227&amp;"||"&amp;$D227,ATT_DATA!$G$2:$G$231,0)),"")</f>
        <v>2</v>
      </c>
      <c r="K227" s="2" t="n">
        <f aca="false">IF(OR(H227="",ISNUMBER(H227)=FALSE()),"",H227+I227+J227)</f>
        <v>35</v>
      </c>
      <c r="L227" s="3" t="n">
        <f aca="false">IFERROR(H227/K227,"")</f>
        <v>0.857142857142857</v>
      </c>
    </row>
    <row r="228" customFormat="false" ht="15" hidden="false" customHeight="false" outlineLevel="0" collapsed="false">
      <c r="A228" s="2" t="n">
        <v>227</v>
      </c>
      <c r="B228" s="2" t="s">
        <v>28</v>
      </c>
      <c r="C228" s="2" t="s">
        <v>29</v>
      </c>
      <c r="D228" s="2" t="n">
        <f aca="false">'MJLI-13'!B9</f>
        <v>25198</v>
      </c>
      <c r="E228" s="2" t="str">
        <f aca="false">'MJLI-13'!C9</f>
        <v>Mohammad Abdullah</v>
      </c>
      <c r="F228" s="2" t="str">
        <f aca="false">'MJLI-13'!D9</f>
        <v>01606-588070</v>
      </c>
      <c r="G228" s="2" t="n">
        <f aca="false">'MJLI-13'!E9</f>
        <v>0</v>
      </c>
      <c r="H228" s="2" t="n">
        <f aca="false">IFERROR(INDEX(ATT_DATA!$D$2:$D$231,MATCH($B228&amp;"||"&amp;$D228,ATT_DATA!$G$2:$G$231,0)),"")</f>
        <v>7</v>
      </c>
      <c r="I228" s="2" t="n">
        <f aca="false">IFERROR(INDEX(ATT_DATA!$E$2:$E$231,MATCH($B228&amp;"||"&amp;$D228,ATT_DATA!$G$2:$G$231,0)),"")</f>
        <v>20</v>
      </c>
      <c r="J228" s="2" t="n">
        <f aca="false">IFERROR(INDEX(ATT_DATA!$F$2:$F$231,MATCH($B228&amp;"||"&amp;$D228,ATT_DATA!$G$2:$G$231,0)),"")</f>
        <v>0</v>
      </c>
      <c r="K228" s="2" t="n">
        <f aca="false">IF(OR(H228="",ISNUMBER(H228)=FALSE()),"",H228+I228+J228)</f>
        <v>27</v>
      </c>
      <c r="L228" s="3" t="n">
        <f aca="false">IFERROR(H228/K228,"")</f>
        <v>0.259259259259259</v>
      </c>
    </row>
    <row r="229" customFormat="false" ht="15" hidden="false" customHeight="false" outlineLevel="0" collapsed="false">
      <c r="A229" s="2" t="n">
        <v>228</v>
      </c>
      <c r="B229" s="2" t="s">
        <v>28</v>
      </c>
      <c r="C229" s="2" t="s">
        <v>29</v>
      </c>
      <c r="D229" s="2" t="n">
        <f aca="false">'MJLI-13'!B10</f>
        <v>25222</v>
      </c>
      <c r="E229" s="2" t="str">
        <f aca="false">'MJLI-13'!C10</f>
        <v>TAMANNA AKTER</v>
      </c>
      <c r="F229" s="2" t="str">
        <f aca="false">'MJLI-13'!D10</f>
        <v>01825-102613</v>
      </c>
      <c r="G229" s="2" t="str">
        <f aca="false">'MJLI-13'!E10</f>
        <v>01928-384029</v>
      </c>
      <c r="H229" s="2" t="n">
        <f aca="false">IFERROR(INDEX(ATT_DATA!$D$2:$D$231,MATCH($B229&amp;"||"&amp;$D229,ATT_DATA!$G$2:$G$231,0)),"")</f>
        <v>15</v>
      </c>
      <c r="I229" s="2" t="n">
        <f aca="false">IFERROR(INDEX(ATT_DATA!$E$2:$E$231,MATCH($B229&amp;"||"&amp;$D229,ATT_DATA!$G$2:$G$231,0)),"")</f>
        <v>17</v>
      </c>
      <c r="J229" s="2" t="n">
        <f aca="false">IFERROR(INDEX(ATT_DATA!$F$2:$F$231,MATCH($B229&amp;"||"&amp;$D229,ATT_DATA!$G$2:$G$231,0)),"")</f>
        <v>3</v>
      </c>
      <c r="K229" s="2" t="n">
        <f aca="false">IF(OR(H229="",ISNUMBER(H229)=FALSE()),"",H229+I229+J229)</f>
        <v>35</v>
      </c>
      <c r="L229" s="3" t="n">
        <f aca="false">IFERROR(H229/K229,"")</f>
        <v>0.428571428571429</v>
      </c>
    </row>
    <row r="230" customFormat="false" ht="15" hidden="false" customHeight="false" outlineLevel="0" collapsed="false">
      <c r="A230" s="2" t="n">
        <v>229</v>
      </c>
      <c r="B230" s="2" t="s">
        <v>28</v>
      </c>
      <c r="C230" s="2" t="s">
        <v>29</v>
      </c>
      <c r="D230" s="2" t="n">
        <f aca="false">'MJLI-13'!B11</f>
        <v>25227</v>
      </c>
      <c r="E230" s="2" t="str">
        <f aca="false">'MJLI-13'!C11</f>
        <v>WAS KURONI HAQUE NIPU</v>
      </c>
      <c r="F230" s="2" t="str">
        <f aca="false">'MJLI-13'!D11</f>
        <v>01902-818391</v>
      </c>
      <c r="G230" s="2" t="str">
        <f aca="false">'MJLI-13'!E11</f>
        <v>01978-316040</v>
      </c>
      <c r="H230" s="2" t="n">
        <f aca="false">IFERROR(INDEX(ATT_DATA!$D$2:$D$231,MATCH($B230&amp;"||"&amp;$D230,ATT_DATA!$G$2:$G$231,0)),"")</f>
        <v>22</v>
      </c>
      <c r="I230" s="2" t="n">
        <f aca="false">IFERROR(INDEX(ATT_DATA!$E$2:$E$231,MATCH($B230&amp;"||"&amp;$D230,ATT_DATA!$G$2:$G$231,0)),"")</f>
        <v>11</v>
      </c>
      <c r="J230" s="2" t="n">
        <f aca="false">IFERROR(INDEX(ATT_DATA!$F$2:$F$231,MATCH($B230&amp;"||"&amp;$D230,ATT_DATA!$G$2:$G$231,0)),"")</f>
        <v>2</v>
      </c>
      <c r="K230" s="2" t="n">
        <f aca="false">IF(OR(H230="",ISNUMBER(H230)=FALSE()),"",H230+I230+J230)</f>
        <v>35</v>
      </c>
      <c r="L230" s="3" t="n">
        <f aca="false">IFERROR(H230/K230,"")</f>
        <v>0.628571428571429</v>
      </c>
    </row>
    <row r="231" customFormat="false" ht="15" hidden="false" customHeight="false" outlineLevel="0" collapsed="false">
      <c r="A231" s="2" t="n">
        <v>230</v>
      </c>
      <c r="B231" s="2" t="s">
        <v>28</v>
      </c>
      <c r="C231" s="2" t="s">
        <v>29</v>
      </c>
      <c r="D231" s="2" t="n">
        <f aca="false">'MJLI-13'!B12</f>
        <v>0</v>
      </c>
      <c r="E231" s="2" t="str">
        <f aca="false">'MJLI-13'!C12</f>
        <v>IRFAN AHMED GOUROB</v>
      </c>
      <c r="F231" s="2" t="str">
        <f aca="false">'MJLI-13'!D12</f>
        <v>01404-663420</v>
      </c>
      <c r="G231" s="2" t="str">
        <f aca="false">'MJLI-13'!E12</f>
        <v>01955-802900</v>
      </c>
      <c r="H231" s="2" t="str">
        <f aca="false">IFERROR(INDEX(ATT_DATA!$D$2:$D$231,MATCH($B231&amp;"||"&amp;$D231,ATT_DATA!$G$2:$G$231,0)),"")</f>
        <v/>
      </c>
      <c r="I231" s="2" t="str">
        <f aca="false">IFERROR(INDEX(ATT_DATA!$E$2:$E$231,MATCH($B231&amp;"||"&amp;$D231,ATT_DATA!$G$2:$G$231,0)),"")</f>
        <v/>
      </c>
      <c r="J231" s="2" t="str">
        <f aca="false">IFERROR(INDEX(ATT_DATA!$F$2:$F$231,MATCH($B231&amp;"||"&amp;$D231,ATT_DATA!$G$2:$G$231,0)),"")</f>
        <v/>
      </c>
      <c r="K231" s="2" t="str">
        <f aca="false">IF(OR(H231="",ISNUMBER(H231)=FALSE()),"",H231+I231+J231)</f>
        <v/>
      </c>
      <c r="L231" s="3" t="str">
        <f aca="false">IFERROR(H231/K231,"")</f>
        <v/>
      </c>
    </row>
    <row r="232" customFormat="false" ht="15" hidden="false" customHeight="false" outlineLevel="0" collapsed="false">
      <c r="A232" s="2" t="n">
        <v>231</v>
      </c>
      <c r="B232" s="2" t="s">
        <v>28</v>
      </c>
      <c r="C232" s="2" t="s">
        <v>29</v>
      </c>
      <c r="D232" s="2" t="n">
        <f aca="false">'MJLI-13'!B13</f>
        <v>0</v>
      </c>
      <c r="E232" s="2" t="str">
        <f aca="false">'MJLI-13'!C13</f>
        <v>MD RASHEDUL ISLAM</v>
      </c>
      <c r="F232" s="2" t="str">
        <f aca="false">'MJLI-13'!D13</f>
        <v>01821-665275</v>
      </c>
      <c r="G232" s="2" t="str">
        <f aca="false">'MJLI-13'!E13</f>
        <v>01916-569053</v>
      </c>
      <c r="H232" s="2" t="str">
        <f aca="false">IFERROR(INDEX(ATT_DATA!$D$2:$D$231,MATCH($B232&amp;"||"&amp;$D232,ATT_DATA!$G$2:$G$231,0)),"")</f>
        <v/>
      </c>
      <c r="I232" s="2" t="str">
        <f aca="false">IFERROR(INDEX(ATT_DATA!$E$2:$E$231,MATCH($B232&amp;"||"&amp;$D232,ATT_DATA!$G$2:$G$231,0)),"")</f>
        <v/>
      </c>
      <c r="J232" s="2" t="str">
        <f aca="false">IFERROR(INDEX(ATT_DATA!$F$2:$F$231,MATCH($B232&amp;"||"&amp;$D232,ATT_DATA!$G$2:$G$231,0)),"")</f>
        <v/>
      </c>
      <c r="K232" s="2" t="str">
        <f aca="false">IF(OR(H232="",ISNUMBER(H232)=FALSE()),"",H232+I232+J232)</f>
        <v/>
      </c>
      <c r="L232" s="3" t="str">
        <f aca="false">IFERROR(H232/K232,"")</f>
        <v/>
      </c>
    </row>
    <row r="233" customFormat="false" ht="15" hidden="false" customHeight="false" outlineLevel="0" collapsed="false">
      <c r="A233" s="2" t="n">
        <v>232</v>
      </c>
      <c r="B233" s="2" t="s">
        <v>30</v>
      </c>
      <c r="C233" s="2" t="s">
        <v>31</v>
      </c>
      <c r="D233" s="2" t="n">
        <f aca="false">'MJLI 14'!C5</f>
        <v>26245</v>
      </c>
      <c r="E233" s="2" t="str">
        <f aca="false">'MJLI 14'!B5</f>
        <v>Sinthea</v>
      </c>
      <c r="F233" s="2" t="str">
        <f aca="false">'MJLI 14'!D5</f>
        <v>01717-391918</v>
      </c>
      <c r="G233" s="2" t="str">
        <f aca="false">'MJLI 14'!E5</f>
        <v>01631-798461</v>
      </c>
      <c r="H233" s="2" t="n">
        <f aca="false">IFERROR(INDEX(ATT_DATA!$D$2:$D$231,MATCH($B233&amp;"||"&amp;$D233,ATT_DATA!$G$2:$G$231,0)),"")</f>
        <v>49</v>
      </c>
      <c r="I233" s="2" t="n">
        <f aca="false">IFERROR(INDEX(ATT_DATA!$E$2:$E$231,MATCH($B233&amp;"||"&amp;$D233,ATT_DATA!$G$2:$G$231,0)),"")</f>
        <v>6</v>
      </c>
      <c r="J233" s="2" t="n">
        <f aca="false">IFERROR(INDEX(ATT_DATA!$F$2:$F$231,MATCH($B233&amp;"||"&amp;$D233,ATT_DATA!$G$2:$G$231,0)),"")</f>
        <v>0</v>
      </c>
      <c r="K233" s="2" t="n">
        <f aca="false">IF(OR(H233="",ISNUMBER(H233)=FALSE()),"",H233+I233+J233)</f>
        <v>55</v>
      </c>
      <c r="L233" s="3" t="n">
        <f aca="false">IFERROR(H233/K233,"")</f>
        <v>0.890909090909091</v>
      </c>
    </row>
    <row r="234" customFormat="false" ht="15" hidden="false" customHeight="false" outlineLevel="0" collapsed="false">
      <c r="A234" s="2" t="n">
        <v>233</v>
      </c>
      <c r="B234" s="2" t="s">
        <v>30</v>
      </c>
      <c r="C234" s="2" t="s">
        <v>31</v>
      </c>
      <c r="D234" s="2" t="n">
        <f aca="false">'MJLI 14'!C6</f>
        <v>26242</v>
      </c>
      <c r="E234" s="2" t="str">
        <f aca="false">'MJLI 14'!B6</f>
        <v>Jannatul Islam Hridika</v>
      </c>
      <c r="F234" s="2" t="str">
        <f aca="false">'MJLI 14'!D6</f>
        <v>01973-298060</v>
      </c>
      <c r="G234" s="2" t="str">
        <f aca="false">'MJLI 14'!E6</f>
        <v>01708-186362</v>
      </c>
      <c r="H234" s="2" t="n">
        <f aca="false">IFERROR(INDEX(ATT_DATA!$D$2:$D$231,MATCH($B234&amp;"||"&amp;$D234,ATT_DATA!$G$2:$G$231,0)),"")</f>
        <v>48</v>
      </c>
      <c r="I234" s="2" t="n">
        <f aca="false">IFERROR(INDEX(ATT_DATA!$E$2:$E$231,MATCH($B234&amp;"||"&amp;$D234,ATT_DATA!$G$2:$G$231,0)),"")</f>
        <v>3</v>
      </c>
      <c r="J234" s="2" t="n">
        <f aca="false">IFERROR(INDEX(ATT_DATA!$F$2:$F$231,MATCH($B234&amp;"||"&amp;$D234,ATT_DATA!$G$2:$G$231,0)),"")</f>
        <v>4</v>
      </c>
      <c r="K234" s="2" t="n">
        <f aca="false">IF(OR(H234="",ISNUMBER(H234)=FALSE()),"",H234+I234+J234)</f>
        <v>55</v>
      </c>
      <c r="L234" s="3" t="n">
        <f aca="false">IFERROR(H234/K234,"")</f>
        <v>0.872727272727273</v>
      </c>
    </row>
    <row r="235" customFormat="false" ht="15" hidden="false" customHeight="false" outlineLevel="0" collapsed="false">
      <c r="A235" s="2" t="n">
        <v>234</v>
      </c>
      <c r="B235" s="2" t="s">
        <v>30</v>
      </c>
      <c r="C235" s="2" t="s">
        <v>31</v>
      </c>
      <c r="D235" s="2" t="n">
        <f aca="false">'MJLI 14'!C7</f>
        <v>25234</v>
      </c>
      <c r="E235" s="2" t="str">
        <f aca="false">'MJLI 14'!B7</f>
        <v>MD NOMAN</v>
      </c>
      <c r="F235" s="2" t="str">
        <f aca="false">'MJLI 14'!D7</f>
        <v>01404-938126</v>
      </c>
      <c r="G235" s="2" t="str">
        <f aca="false">'MJLI 14'!E7</f>
        <v>01991-573706</v>
      </c>
      <c r="H235" s="2" t="n">
        <f aca="false">IFERROR(INDEX(ATT_DATA!$D$2:$D$231,MATCH($B235&amp;"||"&amp;$D235,ATT_DATA!$G$2:$G$231,0)),"")</f>
        <v>24</v>
      </c>
      <c r="I235" s="2" t="n">
        <f aca="false">IFERROR(INDEX(ATT_DATA!$E$2:$E$231,MATCH($B235&amp;"||"&amp;$D235,ATT_DATA!$G$2:$G$231,0)),"")</f>
        <v>9</v>
      </c>
      <c r="J235" s="2" t="n">
        <f aca="false">IFERROR(INDEX(ATT_DATA!$F$2:$F$231,MATCH($B235&amp;"||"&amp;$D235,ATT_DATA!$G$2:$G$231,0)),"")</f>
        <v>0</v>
      </c>
      <c r="K235" s="2" t="n">
        <f aca="false">IF(OR(H235="",ISNUMBER(H235)=FALSE()),"",H235+I235+J235)</f>
        <v>33</v>
      </c>
      <c r="L235" s="3" t="n">
        <f aca="false">IFERROR(H235/K235,"")</f>
        <v>0.727272727272727</v>
      </c>
    </row>
    <row r="236" customFormat="false" ht="15" hidden="false" customHeight="false" outlineLevel="0" collapsed="false">
      <c r="A236" s="2" t="n">
        <v>235</v>
      </c>
      <c r="B236" s="2" t="s">
        <v>30</v>
      </c>
      <c r="C236" s="2" t="s">
        <v>31</v>
      </c>
      <c r="D236" s="2" t="n">
        <f aca="false">'MJLI 14'!C8</f>
        <v>26241</v>
      </c>
      <c r="E236" s="2" t="str">
        <f aca="false">'MJLI 14'!B8</f>
        <v>Rokibul Islam</v>
      </c>
      <c r="F236" s="2" t="str">
        <f aca="false">'MJLI 14'!D8</f>
        <v>01818-927715</v>
      </c>
      <c r="G236" s="2" t="str">
        <f aca="false">'MJLI 14'!E8</f>
        <v>01836-135671</v>
      </c>
      <c r="H236" s="2" t="n">
        <f aca="false">IFERROR(INDEX(ATT_DATA!$D$2:$D$231,MATCH($B236&amp;"||"&amp;$D236,ATT_DATA!$G$2:$G$231,0)),"")</f>
        <v>53</v>
      </c>
      <c r="I236" s="2" t="n">
        <f aca="false">IFERROR(INDEX(ATT_DATA!$E$2:$E$231,MATCH($B236&amp;"||"&amp;$D236,ATT_DATA!$G$2:$G$231,0)),"")</f>
        <v>0</v>
      </c>
      <c r="J236" s="2" t="n">
        <f aca="false">IFERROR(INDEX(ATT_DATA!$F$2:$F$231,MATCH($B236&amp;"||"&amp;$D236,ATT_DATA!$G$2:$G$231,0)),"")</f>
        <v>2</v>
      </c>
      <c r="K236" s="2" t="n">
        <f aca="false">IF(OR(H236="",ISNUMBER(H236)=FALSE()),"",H236+I236+J236)</f>
        <v>55</v>
      </c>
      <c r="L236" s="3" t="n">
        <f aca="false">IFERROR(H236/K236,"")</f>
        <v>0.963636363636364</v>
      </c>
    </row>
    <row r="237" customFormat="false" ht="15" hidden="false" customHeight="false" outlineLevel="0" collapsed="false">
      <c r="A237" s="2" t="n">
        <v>236</v>
      </c>
      <c r="B237" s="2" t="s">
        <v>30</v>
      </c>
      <c r="C237" s="2" t="s">
        <v>31</v>
      </c>
      <c r="D237" s="2" t="n">
        <f aca="false">'MJLI 14'!C9</f>
        <v>26243</v>
      </c>
      <c r="E237" s="2" t="str">
        <f aca="false">'MJLI 14'!B9</f>
        <v>Fahim Islam Rahim</v>
      </c>
      <c r="F237" s="2" t="str">
        <f aca="false">'MJLI 14'!D9</f>
        <v>01934-229461</v>
      </c>
      <c r="G237" s="2" t="str">
        <f aca="false">'MJLI 14'!E9</f>
        <v>01740-633208</v>
      </c>
      <c r="H237" s="2" t="n">
        <f aca="false">IFERROR(INDEX(ATT_DATA!$D$2:$D$231,MATCH($B237&amp;"||"&amp;$D237,ATT_DATA!$G$2:$G$231,0)),"")</f>
        <v>38</v>
      </c>
      <c r="I237" s="2" t="n">
        <f aca="false">IFERROR(INDEX(ATT_DATA!$E$2:$E$231,MATCH($B237&amp;"||"&amp;$D237,ATT_DATA!$G$2:$G$231,0)),"")</f>
        <v>15</v>
      </c>
      <c r="J237" s="2" t="n">
        <f aca="false">IFERROR(INDEX(ATT_DATA!$F$2:$F$231,MATCH($B237&amp;"||"&amp;$D237,ATT_DATA!$G$2:$G$231,0)),"")</f>
        <v>2</v>
      </c>
      <c r="K237" s="2" t="n">
        <f aca="false">IF(OR(H237="",ISNUMBER(H237)=FALSE()),"",H237+I237+J237)</f>
        <v>55</v>
      </c>
      <c r="L237" s="3" t="n">
        <f aca="false">IFERROR(H237/K237,"")</f>
        <v>0.690909090909091</v>
      </c>
    </row>
    <row r="238" customFormat="false" ht="15" hidden="false" customHeight="false" outlineLevel="0" collapsed="false">
      <c r="A238" s="2" t="n">
        <v>237</v>
      </c>
      <c r="B238" s="2" t="s">
        <v>30</v>
      </c>
      <c r="C238" s="2" t="s">
        <v>31</v>
      </c>
      <c r="D238" s="2" t="n">
        <f aca="false">'MJLI 14'!C10</f>
        <v>26247</v>
      </c>
      <c r="E238" s="2" t="str">
        <f aca="false">'MJLI 14'!B10</f>
        <v>Jannatul Ferdusi Sima</v>
      </c>
      <c r="F238" s="2" t="str">
        <f aca="false">'MJLI 14'!D10</f>
        <v>01568-351073</v>
      </c>
      <c r="G238" s="2" t="str">
        <f aca="false">'MJLI 14'!E10</f>
        <v>01746-657901</v>
      </c>
      <c r="H238" s="2" t="n">
        <f aca="false">IFERROR(INDEX(ATT_DATA!$D$2:$D$231,MATCH($B238&amp;"||"&amp;$D238,ATT_DATA!$G$2:$G$231,0)),"")</f>
        <v>46</v>
      </c>
      <c r="I238" s="2" t="n">
        <f aca="false">IFERROR(INDEX(ATT_DATA!$E$2:$E$231,MATCH($B238&amp;"||"&amp;$D238,ATT_DATA!$G$2:$G$231,0)),"")</f>
        <v>7</v>
      </c>
      <c r="J238" s="2" t="n">
        <f aca="false">IFERROR(INDEX(ATT_DATA!$F$2:$F$231,MATCH($B238&amp;"||"&amp;$D238,ATT_DATA!$G$2:$G$231,0)),"")</f>
        <v>2</v>
      </c>
      <c r="K238" s="2" t="n">
        <f aca="false">IF(OR(H238="",ISNUMBER(H238)=FALSE()),"",H238+I238+J238)</f>
        <v>55</v>
      </c>
      <c r="L238" s="3" t="n">
        <f aca="false">IFERROR(H238/K238,"")</f>
        <v>0.836363636363636</v>
      </c>
    </row>
    <row r="239" customFormat="false" ht="15" hidden="false" customHeight="false" outlineLevel="0" collapsed="false">
      <c r="A239" s="2" t="n">
        <v>238</v>
      </c>
      <c r="B239" s="2" t="s">
        <v>30</v>
      </c>
      <c r="C239" s="2" t="s">
        <v>31</v>
      </c>
      <c r="D239" s="2" t="n">
        <f aca="false">'MJLI 14'!C11</f>
        <v>26248</v>
      </c>
      <c r="E239" s="2" t="str">
        <f aca="false">'MJLI 14'!B11</f>
        <v>Meherab Hossain</v>
      </c>
      <c r="F239" s="2" t="str">
        <f aca="false">'MJLI 14'!D11</f>
        <v>01768-211968</v>
      </c>
      <c r="G239" s="2" t="str">
        <f aca="false">'MJLI 14'!E11</f>
        <v>01721-407081</v>
      </c>
      <c r="H239" s="2" t="n">
        <f aca="false">IFERROR(INDEX(ATT_DATA!$D$2:$D$231,MATCH($B239&amp;"||"&amp;$D239,ATT_DATA!$G$2:$G$231,0)),"")</f>
        <v>49</v>
      </c>
      <c r="I239" s="2" t="n">
        <f aca="false">IFERROR(INDEX(ATT_DATA!$E$2:$E$231,MATCH($B239&amp;"||"&amp;$D239,ATT_DATA!$G$2:$G$231,0)),"")</f>
        <v>6</v>
      </c>
      <c r="J239" s="2" t="n">
        <f aca="false">IFERROR(INDEX(ATT_DATA!$F$2:$F$231,MATCH($B239&amp;"||"&amp;$D239,ATT_DATA!$G$2:$G$231,0)),"")</f>
        <v>0</v>
      </c>
      <c r="K239" s="2" t="n">
        <f aca="false">IF(OR(H239="",ISNUMBER(H239)=FALSE()),"",H239+I239+J239)</f>
        <v>55</v>
      </c>
      <c r="L239" s="3" t="n">
        <f aca="false">IFERROR(H239/K239,"")</f>
        <v>0.890909090909091</v>
      </c>
    </row>
    <row r="240" customFormat="false" ht="15" hidden="false" customHeight="false" outlineLevel="0" collapsed="false">
      <c r="A240" s="2" t="n">
        <v>239</v>
      </c>
      <c r="B240" s="2" t="s">
        <v>30</v>
      </c>
      <c r="C240" s="2" t="s">
        <v>31</v>
      </c>
      <c r="D240" s="2" t="n">
        <f aca="false">'MJLI 14'!C12</f>
        <v>26246</v>
      </c>
      <c r="E240" s="2" t="str">
        <f aca="false">'MJLI 14'!B12</f>
        <v>Amit Ghosh</v>
      </c>
      <c r="F240" s="2" t="str">
        <f aca="false">'MJLI 14'!D12</f>
        <v>01963-605906</v>
      </c>
      <c r="G240" s="2" t="str">
        <f aca="false">'MJLI 14'!E12</f>
        <v>01771-623676</v>
      </c>
      <c r="H240" s="2" t="n">
        <f aca="false">IFERROR(INDEX(ATT_DATA!$D$2:$D$231,MATCH($B240&amp;"||"&amp;$D240,ATT_DATA!$G$2:$G$231,0)),"")</f>
        <v>50</v>
      </c>
      <c r="I240" s="2" t="n">
        <f aca="false">IFERROR(INDEX(ATT_DATA!$E$2:$E$231,MATCH($B240&amp;"||"&amp;$D240,ATT_DATA!$G$2:$G$231,0)),"")</f>
        <v>5</v>
      </c>
      <c r="J240" s="2" t="n">
        <f aca="false">IFERROR(INDEX(ATT_DATA!$F$2:$F$231,MATCH($B240&amp;"||"&amp;$D240,ATT_DATA!$G$2:$G$231,0)),"")</f>
        <v>0</v>
      </c>
      <c r="K240" s="2" t="n">
        <f aca="false">IF(OR(H240="",ISNUMBER(H240)=FALSE()),"",H240+I240+J240)</f>
        <v>55</v>
      </c>
      <c r="L240" s="3" t="n">
        <f aca="false">IFERROR(H240/K240,"")</f>
        <v>0.909090909090909</v>
      </c>
    </row>
    <row r="241" customFormat="false" ht="15" hidden="false" customHeight="false" outlineLevel="0" collapsed="false">
      <c r="A241" s="2" t="n">
        <v>240</v>
      </c>
      <c r="B241" s="2" t="s">
        <v>30</v>
      </c>
      <c r="C241" s="2" t="s">
        <v>31</v>
      </c>
      <c r="D241" s="2" t="n">
        <f aca="false">'MJLI 14'!C13</f>
        <v>26250</v>
      </c>
      <c r="E241" s="2" t="str">
        <f aca="false">'MJLI 14'!B13</f>
        <v>MD. Shamim Sheikh</v>
      </c>
      <c r="F241" s="2" t="str">
        <f aca="false">'MJLI 14'!D13</f>
        <v>01930-045973</v>
      </c>
      <c r="G241" s="2" t="str">
        <f aca="false">'MJLI 14'!E13</f>
        <v>01951-142528</v>
      </c>
      <c r="H241" s="2" t="n">
        <f aca="false">IFERROR(INDEX(ATT_DATA!$D$2:$D$231,MATCH($B241&amp;"||"&amp;$D241,ATT_DATA!$G$2:$G$231,0)),"")</f>
        <v>35</v>
      </c>
      <c r="I241" s="2" t="n">
        <f aca="false">IFERROR(INDEX(ATT_DATA!$E$2:$E$231,MATCH($B241&amp;"||"&amp;$D241,ATT_DATA!$G$2:$G$231,0)),"")</f>
        <v>20</v>
      </c>
      <c r="J241" s="2" t="n">
        <f aca="false">IFERROR(INDEX(ATT_DATA!$F$2:$F$231,MATCH($B241&amp;"||"&amp;$D241,ATT_DATA!$G$2:$G$231,0)),"")</f>
        <v>0</v>
      </c>
      <c r="K241" s="2" t="n">
        <f aca="false">IF(OR(H241="",ISNUMBER(H241)=FALSE()),"",H241+I241+J241)</f>
        <v>55</v>
      </c>
      <c r="L241" s="3" t="n">
        <f aca="false">IFERROR(H241/K241,"")</f>
        <v>0.636363636363636</v>
      </c>
    </row>
    <row r="242" customFormat="false" ht="15" hidden="false" customHeight="false" outlineLevel="0" collapsed="false">
      <c r="A242" s="2" t="n">
        <v>241</v>
      </c>
      <c r="B242" s="2" t="s">
        <v>30</v>
      </c>
      <c r="C242" s="2" t="s">
        <v>31</v>
      </c>
      <c r="D242" s="2" t="n">
        <f aca="false">'MJLI 14'!C14</f>
        <v>26240</v>
      </c>
      <c r="E242" s="2" t="str">
        <f aca="false">'MJLI 14'!B14</f>
        <v>UMAIZA AKTER</v>
      </c>
      <c r="F242" s="2" t="n">
        <f aca="false">'MJLI 14'!D14</f>
        <v>0</v>
      </c>
      <c r="G242" s="2" t="str">
        <f aca="false">'MJLI 14'!E14</f>
        <v>01799-300800</v>
      </c>
      <c r="H242" s="2" t="str">
        <f aca="false">IFERROR(INDEX(ATT_DATA!$D$2:$D$231,MATCH($B242&amp;"||"&amp;$D242,ATT_DATA!$G$2:$G$231,0)),"")</f>
        <v/>
      </c>
      <c r="I242" s="2" t="str">
        <f aca="false">IFERROR(INDEX(ATT_DATA!$E$2:$E$231,MATCH($B242&amp;"||"&amp;$D242,ATT_DATA!$G$2:$G$231,0)),"")</f>
        <v/>
      </c>
      <c r="J242" s="2" t="str">
        <f aca="false">IFERROR(INDEX(ATT_DATA!$F$2:$F$231,MATCH($B242&amp;"||"&amp;$D242,ATT_DATA!$G$2:$G$231,0)),"")</f>
        <v/>
      </c>
      <c r="K242" s="2" t="str">
        <f aca="false">IF(OR(H242="",ISNUMBER(H242)=FALSE()),"",H242+I242+J242)</f>
        <v/>
      </c>
      <c r="L242" s="3" t="str">
        <f aca="false">IFERROR(H242/K242,"")</f>
        <v/>
      </c>
    </row>
    <row r="243" customFormat="false" ht="15" hidden="false" customHeight="false" outlineLevel="0" collapsed="false">
      <c r="A243" s="2" t="n">
        <v>242</v>
      </c>
      <c r="B243" s="2" t="s">
        <v>30</v>
      </c>
      <c r="C243" s="2" t="s">
        <v>31</v>
      </c>
      <c r="D243" s="2" t="n">
        <f aca="false">'MJLI 14'!C15</f>
        <v>26279</v>
      </c>
      <c r="E243" s="2" t="str">
        <f aca="false">'MJLI 14'!B15</f>
        <v>AKIB </v>
      </c>
      <c r="F243" s="2" t="str">
        <f aca="false">'MJLI 14'!D15</f>
        <v>01919-807785</v>
      </c>
      <c r="G243" s="2" t="n">
        <f aca="false">'MJLI 14'!E15</f>
        <v>0</v>
      </c>
      <c r="H243" s="2" t="n">
        <f aca="false">IFERROR(INDEX(ATT_DATA!$D$2:$D$231,MATCH($B243&amp;"||"&amp;$D243,ATT_DATA!$G$2:$G$231,0)),"")</f>
        <v>21</v>
      </c>
      <c r="I243" s="2" t="n">
        <f aca="false">IFERROR(INDEX(ATT_DATA!$E$2:$E$231,MATCH($B243&amp;"||"&amp;$D243,ATT_DATA!$G$2:$G$231,0)),"")</f>
        <v>10</v>
      </c>
      <c r="J243" s="2" t="n">
        <f aca="false">IFERROR(INDEX(ATT_DATA!$F$2:$F$231,MATCH($B243&amp;"||"&amp;$D243,ATT_DATA!$G$2:$G$231,0)),"")</f>
        <v>0</v>
      </c>
      <c r="K243" s="2" t="n">
        <f aca="false">IF(OR(H243="",ISNUMBER(H243)=FALSE()),"",H243+I243+J243)</f>
        <v>31</v>
      </c>
      <c r="L243" s="3" t="n">
        <f aca="false">IFERROR(H243/K243,"")</f>
        <v>0.67741935483871</v>
      </c>
    </row>
    <row r="244" customFormat="false" ht="15" hidden="false" customHeight="false" outlineLevel="0" collapsed="false">
      <c r="A244" s="2" t="n">
        <v>243</v>
      </c>
      <c r="B244" s="2" t="s">
        <v>30</v>
      </c>
      <c r="C244" s="2" t="s">
        <v>31</v>
      </c>
      <c r="D244" s="2" t="n">
        <f aca="false">'MJLI 14'!C16</f>
        <v>25225</v>
      </c>
      <c r="E244" s="2" t="str">
        <f aca="false">'MJLI 14'!B16</f>
        <v>MD SAJIB SARKER</v>
      </c>
      <c r="F244" s="2" t="str">
        <f aca="false">'MJLI 14'!D16</f>
        <v>01614-913087</v>
      </c>
      <c r="G244" s="2" t="str">
        <f aca="false">'MJLI 14'!E16</f>
        <v>01401-646581</v>
      </c>
      <c r="H244" s="2" t="n">
        <f aca="false">IFERROR(INDEX(ATT_DATA!$D$2:$D$231,MATCH($B244&amp;"||"&amp;$D244,ATT_DATA!$G$2:$G$231,0)),"")</f>
        <v>31</v>
      </c>
      <c r="I244" s="2" t="n">
        <f aca="false">IFERROR(INDEX(ATT_DATA!$E$2:$E$231,MATCH($B244&amp;"||"&amp;$D244,ATT_DATA!$G$2:$G$231,0)),"")</f>
        <v>7</v>
      </c>
      <c r="J244" s="2" t="n">
        <f aca="false">IFERROR(INDEX(ATT_DATA!$F$2:$F$231,MATCH($B244&amp;"||"&amp;$D244,ATT_DATA!$G$2:$G$231,0)),"")</f>
        <v>2</v>
      </c>
      <c r="K244" s="2" t="n">
        <f aca="false">IF(OR(H244="",ISNUMBER(H244)=FALSE()),"",H244+I244+J244)</f>
        <v>40</v>
      </c>
      <c r="L244" s="3" t="n">
        <f aca="false">IFERROR(H244/K244,"")</f>
        <v>0.775</v>
      </c>
    </row>
    <row r="245" customFormat="false" ht="15" hidden="false" customHeight="false" outlineLevel="0" collapsed="false">
      <c r="A245" s="2" t="n">
        <v>244</v>
      </c>
      <c r="B245" s="2" t="s">
        <v>30</v>
      </c>
      <c r="C245" s="2" t="s">
        <v>31</v>
      </c>
      <c r="D245" s="2" t="n">
        <f aca="false">'MJLI 14'!C17</f>
        <v>25227</v>
      </c>
      <c r="E245" s="2" t="str">
        <f aca="false">'MJLI 14'!B17</f>
        <v>WAS KURONI HAQUE NIPU</v>
      </c>
      <c r="F245" s="2" t="str">
        <f aca="false">'MJLI 14'!D17</f>
        <v>01902-818391</v>
      </c>
      <c r="G245" s="2" t="str">
        <f aca="false">'MJLI 14'!E17</f>
        <v>01978-316040</v>
      </c>
      <c r="H245" s="2" t="n">
        <f aca="false">IFERROR(INDEX(ATT_DATA!$D$2:$D$231,MATCH($B245&amp;"||"&amp;$D245,ATT_DATA!$G$2:$G$231,0)),"")</f>
        <v>27</v>
      </c>
      <c r="I245" s="2" t="n">
        <f aca="false">IFERROR(INDEX(ATT_DATA!$E$2:$E$231,MATCH($B245&amp;"||"&amp;$D245,ATT_DATA!$G$2:$G$231,0)),"")</f>
        <v>9</v>
      </c>
      <c r="J245" s="2" t="n">
        <f aca="false">IFERROR(INDEX(ATT_DATA!$F$2:$F$231,MATCH($B245&amp;"||"&amp;$D245,ATT_DATA!$G$2:$G$231,0)),"")</f>
        <v>2</v>
      </c>
      <c r="K245" s="2" t="n">
        <f aca="false">IF(OR(H245="",ISNUMBER(H245)=FALSE()),"",H245+I245+J245)</f>
        <v>38</v>
      </c>
      <c r="L245" s="3" t="n">
        <f aca="false">IFERROR(H245/K245,"")</f>
        <v>0.710526315789474</v>
      </c>
    </row>
    <row r="246" customFormat="false" ht="15" hidden="false" customHeight="false" outlineLevel="0" collapsed="false">
      <c r="A246" s="2" t="n">
        <v>245</v>
      </c>
      <c r="B246" s="2" t="s">
        <v>30</v>
      </c>
      <c r="C246" s="2" t="s">
        <v>31</v>
      </c>
      <c r="D246" s="2" t="n">
        <f aca="false">'MJLI 14'!C18</f>
        <v>25222</v>
      </c>
      <c r="E246" s="2" t="str">
        <f aca="false">'MJLI 14'!B18</f>
        <v>TAMANNA AKTER</v>
      </c>
      <c r="F246" s="2" t="str">
        <f aca="false">'MJLI 14'!D18</f>
        <v>01825-102613</v>
      </c>
      <c r="G246" s="2" t="str">
        <f aca="false">'MJLI 14'!E18</f>
        <v>01928-384029</v>
      </c>
      <c r="H246" s="2" t="n">
        <f aca="false">IFERROR(INDEX(ATT_DATA!$D$2:$D$231,MATCH($B246&amp;"||"&amp;$D246,ATT_DATA!$G$2:$G$231,0)),"")</f>
        <v>10</v>
      </c>
      <c r="I246" s="2" t="n">
        <f aca="false">IFERROR(INDEX(ATT_DATA!$E$2:$E$231,MATCH($B246&amp;"||"&amp;$D246,ATT_DATA!$G$2:$G$231,0)),"")</f>
        <v>21</v>
      </c>
      <c r="J246" s="2" t="n">
        <f aca="false">IFERROR(INDEX(ATT_DATA!$F$2:$F$231,MATCH($B246&amp;"||"&amp;$D246,ATT_DATA!$G$2:$G$231,0)),"")</f>
        <v>0</v>
      </c>
      <c r="K246" s="2" t="n">
        <f aca="false">IF(OR(H246="",ISNUMBER(H246)=FALSE()),"",H246+I246+J246)</f>
        <v>31</v>
      </c>
      <c r="L246" s="3" t="n">
        <f aca="false">IFERROR(H246/K246,"")</f>
        <v>0.32258064516129</v>
      </c>
    </row>
    <row r="247" customFormat="false" ht="15" hidden="false" customHeight="false" outlineLevel="0" collapsed="false">
      <c r="A247" s="2" t="n">
        <v>246</v>
      </c>
      <c r="B247" s="2" t="s">
        <v>30</v>
      </c>
      <c r="C247" s="2" t="s">
        <v>31</v>
      </c>
      <c r="D247" s="2" t="n">
        <f aca="false">'MJLI 14'!C19</f>
        <v>25238</v>
      </c>
      <c r="E247" s="2" t="str">
        <f aca="false">'MJLI 14'!B19</f>
        <v>ROSNI AKTER</v>
      </c>
      <c r="F247" s="2" t="str">
        <f aca="false">'MJLI 14'!D19</f>
        <v>01996-412874</v>
      </c>
      <c r="G247" s="2" t="str">
        <f aca="false">'MJLI 14'!E19</f>
        <v>01796-579940</v>
      </c>
      <c r="H247" s="2" t="str">
        <f aca="false">IFERROR(INDEX(ATT_DATA!$D$2:$D$231,MATCH($B247&amp;"||"&amp;$D247,ATT_DATA!$G$2:$G$231,0)),"")</f>
        <v/>
      </c>
      <c r="I247" s="2" t="str">
        <f aca="false">IFERROR(INDEX(ATT_DATA!$E$2:$E$231,MATCH($B247&amp;"||"&amp;$D247,ATT_DATA!$G$2:$G$231,0)),"")</f>
        <v/>
      </c>
      <c r="J247" s="2" t="str">
        <f aca="false">IFERROR(INDEX(ATT_DATA!$F$2:$F$231,MATCH($B247&amp;"||"&amp;$D247,ATT_DATA!$G$2:$G$231,0)),"")</f>
        <v/>
      </c>
      <c r="K247" s="2" t="str">
        <f aca="false">IF(OR(H247="",ISNUMBER(H247)=FALSE()),"",H247+I247+J247)</f>
        <v/>
      </c>
      <c r="L247" s="3" t="str">
        <f aca="false">IFERROR(H247/K247,"")</f>
        <v/>
      </c>
    </row>
    <row r="248" customFormat="false" ht="15" hidden="false" customHeight="false" outlineLevel="0" collapsed="false">
      <c r="A248" s="2" t="n">
        <v>247</v>
      </c>
      <c r="B248" s="2" t="s">
        <v>30</v>
      </c>
      <c r="C248" s="2" t="s">
        <v>31</v>
      </c>
      <c r="D248" s="2" t="n">
        <f aca="false">'MJLI 14'!C20</f>
        <v>25237</v>
      </c>
      <c r="E248" s="2" t="str">
        <f aca="false">'MJLI 14'!B20</f>
        <v>SIFAT</v>
      </c>
      <c r="F248" s="2" t="str">
        <f aca="false">'MJLI 14'!D20</f>
        <v>01307-717082</v>
      </c>
      <c r="G248" s="2" t="str">
        <f aca="false">'MJLI 14'!E20</f>
        <v>01611-953126</v>
      </c>
      <c r="H248" s="2" t="n">
        <f aca="false">IFERROR(INDEX(ATT_DATA!$D$2:$D$231,MATCH($B248&amp;"||"&amp;$D248,ATT_DATA!$G$2:$G$231,0)),"")</f>
        <v>30</v>
      </c>
      <c r="I248" s="2" t="n">
        <f aca="false">IFERROR(INDEX(ATT_DATA!$E$2:$E$231,MATCH($B248&amp;"||"&amp;$D248,ATT_DATA!$G$2:$G$231,0)),"")</f>
        <v>8</v>
      </c>
      <c r="J248" s="2" t="n">
        <f aca="false">IFERROR(INDEX(ATT_DATA!$F$2:$F$231,MATCH($B248&amp;"||"&amp;$D248,ATT_DATA!$G$2:$G$231,0)),"")</f>
        <v>0</v>
      </c>
      <c r="K248" s="2" t="n">
        <f aca="false">IF(OR(H248="",ISNUMBER(H248)=FALSE()),"",H248+I248+J248)</f>
        <v>38</v>
      </c>
      <c r="L248" s="3" t="n">
        <f aca="false">IFERROR(H248/K248,"")</f>
        <v>0.789473684210526</v>
      </c>
    </row>
    <row r="249" customFormat="false" ht="15" hidden="false" customHeight="false" outlineLevel="0" collapsed="false">
      <c r="A249" s="2" t="n">
        <v>248</v>
      </c>
      <c r="B249" s="2" t="s">
        <v>30</v>
      </c>
      <c r="C249" s="2" t="s">
        <v>31</v>
      </c>
      <c r="D249" s="2" t="n">
        <f aca="false">'MJLI 14'!C21</f>
        <v>26302</v>
      </c>
      <c r="E249" s="2" t="str">
        <f aca="false">'MJLI 14'!B21</f>
        <v>HASAN SHEIKH</v>
      </c>
      <c r="F249" s="2" t="str">
        <f aca="false">'MJLI 14'!D21</f>
        <v>01612-178884</v>
      </c>
      <c r="G249" s="2" t="str">
        <f aca="false">'MJLI 14'!E21</f>
        <v>01937-891048</v>
      </c>
      <c r="H249" s="2" t="n">
        <f aca="false">IFERROR(INDEX(ATT_DATA!$D$2:$D$231,MATCH($B249&amp;"||"&amp;$D249,ATT_DATA!$G$2:$G$231,0)),"")</f>
        <v>32</v>
      </c>
      <c r="I249" s="2" t="n">
        <f aca="false">IFERROR(INDEX(ATT_DATA!$E$2:$E$231,MATCH($B249&amp;"||"&amp;$D249,ATT_DATA!$G$2:$G$231,0)),"")</f>
        <v>3</v>
      </c>
      <c r="J249" s="2" t="n">
        <f aca="false">IFERROR(INDEX(ATT_DATA!$F$2:$F$231,MATCH($B249&amp;"||"&amp;$D249,ATT_DATA!$G$2:$G$231,0)),"")</f>
        <v>3</v>
      </c>
      <c r="K249" s="2" t="n">
        <f aca="false">IF(OR(H249="",ISNUMBER(H249)=FALSE()),"",H249+I249+J249)</f>
        <v>38</v>
      </c>
      <c r="L249" s="3" t="n">
        <f aca="false">IFERROR(H249/K249,"")</f>
        <v>0.842105263157895</v>
      </c>
    </row>
    <row r="250" customFormat="false" ht="15" hidden="false" customHeight="false" outlineLevel="0" collapsed="false">
      <c r="A250" s="2" t="n">
        <v>249</v>
      </c>
      <c r="B250" s="2" t="s">
        <v>30</v>
      </c>
      <c r="C250" s="2" t="s">
        <v>31</v>
      </c>
      <c r="D250" s="2" t="n">
        <f aca="false">'MJLI 14'!C22</f>
        <v>26311</v>
      </c>
      <c r="E250" s="2" t="str">
        <f aca="false">'MJLI 14'!B22</f>
        <v>MD. JISAN</v>
      </c>
      <c r="F250" s="2" t="str">
        <f aca="false">'MJLI 14'!D22</f>
        <v>01613-352953</v>
      </c>
      <c r="G250" s="2" t="n">
        <f aca="false">'MJLI 14'!E22</f>
        <v>0</v>
      </c>
      <c r="H250" s="2" t="n">
        <f aca="false">IFERROR(INDEX(ATT_DATA!$D$2:$D$231,MATCH($B250&amp;"||"&amp;$D250,ATT_DATA!$G$2:$G$231,0)),"")</f>
        <v>15</v>
      </c>
      <c r="I250" s="2" t="n">
        <f aca="false">IFERROR(INDEX(ATT_DATA!$E$2:$E$231,MATCH($B250&amp;"||"&amp;$D250,ATT_DATA!$G$2:$G$231,0)),"")</f>
        <v>3</v>
      </c>
      <c r="J250" s="2" t="n">
        <f aca="false">IFERROR(INDEX(ATT_DATA!$F$2:$F$231,MATCH($B250&amp;"||"&amp;$D250,ATT_DATA!$G$2:$G$231,0)),"")</f>
        <v>0</v>
      </c>
      <c r="K250" s="2" t="n">
        <f aca="false">IF(OR(H250="",ISNUMBER(H250)=FALSE()),"",H250+I250+J250)</f>
        <v>18</v>
      </c>
      <c r="L250" s="3" t="n">
        <f aca="false">IFERROR(H250/K250,"")</f>
        <v>0.833333333333333</v>
      </c>
    </row>
    <row r="251" customFormat="false" ht="15" hidden="false" customHeight="false" outlineLevel="0" collapsed="false">
      <c r="A251" s="2" t="n">
        <v>250</v>
      </c>
      <c r="B251" s="2" t="s">
        <v>32</v>
      </c>
      <c r="C251" s="2" t="s">
        <v>33</v>
      </c>
      <c r="D251" s="2" t="n">
        <f aca="false">'MJLI 15'!C5</f>
        <v>26266</v>
      </c>
      <c r="E251" s="2" t="str">
        <f aca="false">'MJLI 15'!B5</f>
        <v>ISTIAK AHMED🟢</v>
      </c>
      <c r="F251" s="2" t="str">
        <f aca="false">'MJLI 15'!D5</f>
        <v>01782-577082</v>
      </c>
      <c r="G251" s="2" t="str">
        <f aca="false">'MJLI 15'!E5</f>
        <v>01715-423779</v>
      </c>
      <c r="H251" s="2" t="n">
        <f aca="false">IFERROR(INDEX(ATT_DATA!$D$2:$D$231,MATCH($B251&amp;"||"&amp;$D251,ATT_DATA!$G$2:$G$231,0)),"")</f>
        <v>59</v>
      </c>
      <c r="I251" s="2" t="n">
        <f aca="false">IFERROR(INDEX(ATT_DATA!$E$2:$E$231,MATCH($B251&amp;"||"&amp;$D251,ATT_DATA!$G$2:$G$231,0)),"")</f>
        <v>1</v>
      </c>
      <c r="J251" s="2" t="n">
        <f aca="false">IFERROR(INDEX(ATT_DATA!$F$2:$F$231,MATCH($B251&amp;"||"&amp;$D251,ATT_DATA!$G$2:$G$231,0)),"")</f>
        <v>0</v>
      </c>
      <c r="K251" s="2" t="n">
        <f aca="false">IF(OR(H251="",ISNUMBER(H251)=FALSE()),"",H251+I251+J251)</f>
        <v>60</v>
      </c>
      <c r="L251" s="3" t="n">
        <f aca="false">IFERROR(H251/K251,"")</f>
        <v>0.983333333333333</v>
      </c>
    </row>
    <row r="252" customFormat="false" ht="15" hidden="false" customHeight="false" outlineLevel="0" collapsed="false">
      <c r="A252" s="2" t="n">
        <v>251</v>
      </c>
      <c r="B252" s="2" t="s">
        <v>32</v>
      </c>
      <c r="C252" s="2" t="s">
        <v>33</v>
      </c>
      <c r="D252" s="2" t="n">
        <f aca="false">'MJLI 15'!C6</f>
        <v>26257</v>
      </c>
      <c r="E252" s="2" t="str">
        <f aca="false">'MJLI 15'!B6</f>
        <v>MD RAYHAN MIA🟢</v>
      </c>
      <c r="F252" s="2" t="str">
        <f aca="false">'MJLI 15'!D6</f>
        <v>014096-35121</v>
      </c>
      <c r="G252" s="2" t="str">
        <f aca="false">'MJLI 15'!E6</f>
        <v>01985-522368</v>
      </c>
      <c r="H252" s="2" t="n">
        <f aca="false">IFERROR(INDEX(ATT_DATA!$D$2:$D$231,MATCH($B252&amp;"||"&amp;$D252,ATT_DATA!$G$2:$G$231,0)),"")</f>
        <v>51</v>
      </c>
      <c r="I252" s="2" t="n">
        <f aca="false">IFERROR(INDEX(ATT_DATA!$E$2:$E$231,MATCH($B252&amp;"||"&amp;$D252,ATT_DATA!$G$2:$G$231,0)),"")</f>
        <v>6</v>
      </c>
      <c r="J252" s="2" t="n">
        <f aca="false">IFERROR(INDEX(ATT_DATA!$F$2:$F$231,MATCH($B252&amp;"||"&amp;$D252,ATT_DATA!$G$2:$G$231,0)),"")</f>
        <v>3</v>
      </c>
      <c r="K252" s="2" t="n">
        <f aca="false">IF(OR(H252="",ISNUMBER(H252)=FALSE()),"",H252+I252+J252)</f>
        <v>60</v>
      </c>
      <c r="L252" s="3" t="n">
        <f aca="false">IFERROR(H252/K252,"")</f>
        <v>0.85</v>
      </c>
    </row>
    <row r="253" customFormat="false" ht="15" hidden="false" customHeight="false" outlineLevel="0" collapsed="false">
      <c r="A253" s="2" t="n">
        <v>252</v>
      </c>
      <c r="B253" s="2" t="s">
        <v>32</v>
      </c>
      <c r="C253" s="2" t="s">
        <v>33</v>
      </c>
      <c r="D253" s="2" t="n">
        <f aca="false">'MJLI 15'!C7</f>
        <v>26258</v>
      </c>
      <c r="E253" s="2" t="str">
        <f aca="false">'MJLI 15'!B7</f>
        <v>ARIF HOSSAIN MUNNA🟢</v>
      </c>
      <c r="F253" s="2" t="str">
        <f aca="false">'MJLI 15'!D7</f>
        <v>01966-221626</v>
      </c>
      <c r="G253" s="2" t="str">
        <f aca="false">'MJLI 15'!E7</f>
        <v>01752-108800</v>
      </c>
      <c r="H253" s="2" t="n">
        <f aca="false">IFERROR(INDEX(ATT_DATA!$D$2:$D$231,MATCH($B253&amp;"||"&amp;$D253,ATT_DATA!$G$2:$G$231,0)),"")</f>
        <v>57</v>
      </c>
      <c r="I253" s="2" t="n">
        <f aca="false">IFERROR(INDEX(ATT_DATA!$E$2:$E$231,MATCH($B253&amp;"||"&amp;$D253,ATT_DATA!$G$2:$G$231,0)),"")</f>
        <v>1</v>
      </c>
      <c r="J253" s="2" t="n">
        <f aca="false">IFERROR(INDEX(ATT_DATA!$F$2:$F$231,MATCH($B253&amp;"||"&amp;$D253,ATT_DATA!$G$2:$G$231,0)),"")</f>
        <v>2</v>
      </c>
      <c r="K253" s="2" t="n">
        <f aca="false">IF(OR(H253="",ISNUMBER(H253)=FALSE()),"",H253+I253+J253)</f>
        <v>60</v>
      </c>
      <c r="L253" s="3" t="n">
        <f aca="false">IFERROR(H253/K253,"")</f>
        <v>0.95</v>
      </c>
    </row>
    <row r="254" customFormat="false" ht="15" hidden="false" customHeight="false" outlineLevel="0" collapsed="false">
      <c r="A254" s="2" t="n">
        <v>253</v>
      </c>
      <c r="B254" s="2" t="s">
        <v>32</v>
      </c>
      <c r="C254" s="2" t="s">
        <v>33</v>
      </c>
      <c r="D254" s="2" t="n">
        <f aca="false">'MJLI 15'!C8</f>
        <v>26273</v>
      </c>
      <c r="E254" s="2" t="str">
        <f aca="false">'MJLI 15'!B8</f>
        <v>SANJIDA KHAN SHUCHI🟢</v>
      </c>
      <c r="F254" s="2" t="str">
        <f aca="false">'MJLI 15'!D8</f>
        <v>01337-341963</v>
      </c>
      <c r="G254" s="2" t="str">
        <f aca="false">'MJLI 15'!E8</f>
        <v>01720-259100</v>
      </c>
      <c r="H254" s="2" t="n">
        <f aca="false">IFERROR(INDEX(ATT_DATA!$D$2:$D$231,MATCH($B254&amp;"||"&amp;$D254,ATT_DATA!$G$2:$G$231,0)),"")</f>
        <v>55</v>
      </c>
      <c r="I254" s="2" t="n">
        <f aca="false">IFERROR(INDEX(ATT_DATA!$E$2:$E$231,MATCH($B254&amp;"||"&amp;$D254,ATT_DATA!$G$2:$G$231,0)),"")</f>
        <v>4</v>
      </c>
      <c r="J254" s="2" t="n">
        <f aca="false">IFERROR(INDEX(ATT_DATA!$F$2:$F$231,MATCH($B254&amp;"||"&amp;$D254,ATT_DATA!$G$2:$G$231,0)),"")</f>
        <v>1</v>
      </c>
      <c r="K254" s="2" t="n">
        <f aca="false">IF(OR(H254="",ISNUMBER(H254)=FALSE()),"",H254+I254+J254)</f>
        <v>60</v>
      </c>
      <c r="L254" s="3" t="n">
        <f aca="false">IFERROR(H254/K254,"")</f>
        <v>0.916666666666667</v>
      </c>
    </row>
    <row r="255" customFormat="false" ht="15" hidden="false" customHeight="false" outlineLevel="0" collapsed="false">
      <c r="A255" s="2" t="n">
        <v>254</v>
      </c>
      <c r="B255" s="2" t="s">
        <v>32</v>
      </c>
      <c r="C255" s="2" t="s">
        <v>33</v>
      </c>
      <c r="D255" s="2" t="n">
        <f aca="false">'MJLI 15'!C9</f>
        <v>26259</v>
      </c>
      <c r="E255" s="2" t="str">
        <f aca="false">'MJLI 15'!B9</f>
        <v>AKASH KHAN 🟡</v>
      </c>
      <c r="F255" s="2" t="str">
        <f aca="false">'MJLI 15'!D9</f>
        <v>01705-198149</v>
      </c>
      <c r="G255" s="2" t="str">
        <f aca="false">'MJLI 15'!E9</f>
        <v>01710-085632</v>
      </c>
      <c r="H255" s="2" t="n">
        <f aca="false">IFERROR(INDEX(ATT_DATA!$D$2:$D$231,MATCH($B255&amp;"||"&amp;$D255,ATT_DATA!$G$2:$G$231,0)),"")</f>
        <v>43</v>
      </c>
      <c r="I255" s="2" t="n">
        <f aca="false">IFERROR(INDEX(ATT_DATA!$E$2:$E$231,MATCH($B255&amp;"||"&amp;$D255,ATT_DATA!$G$2:$G$231,0)),"")</f>
        <v>13</v>
      </c>
      <c r="J255" s="2" t="n">
        <f aca="false">IFERROR(INDEX(ATT_DATA!$F$2:$F$231,MATCH($B255&amp;"||"&amp;$D255,ATT_DATA!$G$2:$G$231,0)),"")</f>
        <v>2</v>
      </c>
      <c r="K255" s="2" t="n">
        <f aca="false">IF(OR(H255="",ISNUMBER(H255)=FALSE()),"",H255+I255+J255)</f>
        <v>58</v>
      </c>
      <c r="L255" s="3" t="n">
        <f aca="false">IFERROR(H255/K255,"")</f>
        <v>0.741379310344828</v>
      </c>
    </row>
    <row r="256" customFormat="false" ht="15" hidden="false" customHeight="false" outlineLevel="0" collapsed="false">
      <c r="A256" s="2" t="n">
        <v>255</v>
      </c>
      <c r="B256" s="2" t="s">
        <v>32</v>
      </c>
      <c r="C256" s="2" t="s">
        <v>33</v>
      </c>
      <c r="D256" s="2" t="n">
        <f aca="false">'MJLI 15'!C10</f>
        <v>26274</v>
      </c>
      <c r="E256" s="2" t="str">
        <f aca="false">'MJLI 15'!B10</f>
        <v>MAHADI HASAN🟢</v>
      </c>
      <c r="F256" s="2" t="str">
        <f aca="false">'MJLI 15'!D10</f>
        <v>01570-237176</v>
      </c>
      <c r="G256" s="2" t="str">
        <f aca="false">'MJLI 15'!E10</f>
        <v>01533-608018</v>
      </c>
      <c r="H256" s="2" t="n">
        <f aca="false">IFERROR(INDEX(ATT_DATA!$D$2:$D$231,MATCH($B256&amp;"||"&amp;$D256,ATT_DATA!$G$2:$G$231,0)),"")</f>
        <v>46</v>
      </c>
      <c r="I256" s="2" t="n">
        <f aca="false">IFERROR(INDEX(ATT_DATA!$E$2:$E$231,MATCH($B256&amp;"||"&amp;$D256,ATT_DATA!$G$2:$G$231,0)),"")</f>
        <v>6</v>
      </c>
      <c r="J256" s="2" t="n">
        <f aca="false">IFERROR(INDEX(ATT_DATA!$F$2:$F$231,MATCH($B256&amp;"||"&amp;$D256,ATT_DATA!$G$2:$G$231,0)),"")</f>
        <v>0</v>
      </c>
      <c r="K256" s="2" t="n">
        <f aca="false">IF(OR(H256="",ISNUMBER(H256)=FALSE()),"",H256+I256+J256)</f>
        <v>52</v>
      </c>
      <c r="L256" s="3" t="n">
        <f aca="false">IFERROR(H256/K256,"")</f>
        <v>0.884615384615385</v>
      </c>
    </row>
    <row r="257" customFormat="false" ht="15" hidden="false" customHeight="false" outlineLevel="0" collapsed="false">
      <c r="A257" s="2" t="n">
        <v>256</v>
      </c>
      <c r="B257" s="2" t="s">
        <v>32</v>
      </c>
      <c r="C257" s="2" t="s">
        <v>33</v>
      </c>
      <c r="D257" s="2" t="n">
        <f aca="false">'MJLI 15'!C11</f>
        <v>26261</v>
      </c>
      <c r="E257" s="2" t="str">
        <f aca="false">'MJLI 15'!B11</f>
        <v>URMI AKTER🔵</v>
      </c>
      <c r="F257" s="2" t="str">
        <f aca="false">'MJLI 15'!D11</f>
        <v>01753-649532</v>
      </c>
      <c r="G257" s="2" t="str">
        <f aca="false">'MJLI 15'!E11</f>
        <v>01796-101256</v>
      </c>
      <c r="H257" s="2" t="n">
        <f aca="false">IFERROR(INDEX(ATT_DATA!$D$2:$D$231,MATCH($B257&amp;"||"&amp;$D257,ATT_DATA!$G$2:$G$231,0)),"")</f>
        <v>34</v>
      </c>
      <c r="I257" s="2" t="n">
        <f aca="false">IFERROR(INDEX(ATT_DATA!$E$2:$E$231,MATCH($B257&amp;"||"&amp;$D257,ATT_DATA!$G$2:$G$231,0)),"")</f>
        <v>23</v>
      </c>
      <c r="J257" s="2" t="n">
        <f aca="false">IFERROR(INDEX(ATT_DATA!$F$2:$F$231,MATCH($B257&amp;"||"&amp;$D257,ATT_DATA!$G$2:$G$231,0)),"")</f>
        <v>3</v>
      </c>
      <c r="K257" s="2" t="n">
        <f aca="false">IF(OR(H257="",ISNUMBER(H257)=FALSE()),"",H257+I257+J257)</f>
        <v>60</v>
      </c>
      <c r="L257" s="3" t="n">
        <f aca="false">IFERROR(H257/K257,"")</f>
        <v>0.566666666666667</v>
      </c>
    </row>
    <row r="258" customFormat="false" ht="15" hidden="false" customHeight="false" outlineLevel="0" collapsed="false">
      <c r="A258" s="2" t="n">
        <v>257</v>
      </c>
      <c r="B258" s="2" t="s">
        <v>32</v>
      </c>
      <c r="C258" s="2" t="s">
        <v>33</v>
      </c>
      <c r="D258" s="2" t="n">
        <f aca="false">'MJLI 15'!C12</f>
        <v>26262</v>
      </c>
      <c r="E258" s="2" t="str">
        <f aca="false">'MJLI 15'!B12</f>
        <v>TUSHAR BHUIYAN🟡</v>
      </c>
      <c r="F258" s="2" t="str">
        <f aca="false">'MJLI 15'!D12</f>
        <v>01938-366068</v>
      </c>
      <c r="G258" s="2" t="str">
        <f aca="false">'MJLI 15'!E12</f>
        <v>01642-420850</v>
      </c>
      <c r="H258" s="2" t="n">
        <f aca="false">IFERROR(INDEX(ATT_DATA!$D$2:$D$231,MATCH($B258&amp;"||"&amp;$D258,ATT_DATA!$G$2:$G$231,0)),"")</f>
        <v>47</v>
      </c>
      <c r="I258" s="2" t="n">
        <f aca="false">IFERROR(INDEX(ATT_DATA!$E$2:$E$231,MATCH($B258&amp;"||"&amp;$D258,ATT_DATA!$G$2:$G$231,0)),"")</f>
        <v>10</v>
      </c>
      <c r="J258" s="2" t="n">
        <f aca="false">IFERROR(INDEX(ATT_DATA!$F$2:$F$231,MATCH($B258&amp;"||"&amp;$D258,ATT_DATA!$G$2:$G$231,0)),"")</f>
        <v>3</v>
      </c>
      <c r="K258" s="2" t="n">
        <f aca="false">IF(OR(H258="",ISNUMBER(H258)=FALSE()),"",H258+I258+J258)</f>
        <v>60</v>
      </c>
      <c r="L258" s="3" t="n">
        <f aca="false">IFERROR(H258/K258,"")</f>
        <v>0.783333333333333</v>
      </c>
    </row>
    <row r="259" customFormat="false" ht="15" hidden="false" customHeight="false" outlineLevel="0" collapsed="false">
      <c r="A259" s="2" t="n">
        <v>258</v>
      </c>
      <c r="B259" s="2" t="s">
        <v>32</v>
      </c>
      <c r="C259" s="2" t="s">
        <v>33</v>
      </c>
      <c r="D259" s="2" t="n">
        <f aca="false">'MJLI 15'!C13</f>
        <v>26263</v>
      </c>
      <c r="E259" s="2" t="str">
        <f aca="false">'MJLI 15'!B13</f>
        <v>ATIKUR RAHMAN SINHAT🔵</v>
      </c>
      <c r="F259" s="2" t="str">
        <f aca="false">'MJLI 15'!D13</f>
        <v>01842-535513</v>
      </c>
      <c r="G259" s="2" t="str">
        <f aca="false">'MJLI 15'!E13</f>
        <v>01910-441518</v>
      </c>
      <c r="H259" s="2" t="n">
        <f aca="false">IFERROR(INDEX(ATT_DATA!$D$2:$D$231,MATCH($B259&amp;"||"&amp;$D259,ATT_DATA!$G$2:$G$231,0)),"")</f>
        <v>27</v>
      </c>
      <c r="I259" s="2" t="n">
        <f aca="false">IFERROR(INDEX(ATT_DATA!$E$2:$E$231,MATCH($B259&amp;"||"&amp;$D259,ATT_DATA!$G$2:$G$231,0)),"")</f>
        <v>33</v>
      </c>
      <c r="J259" s="2" t="n">
        <f aca="false">IFERROR(INDEX(ATT_DATA!$F$2:$F$231,MATCH($B259&amp;"||"&amp;$D259,ATT_DATA!$G$2:$G$231,0)),"")</f>
        <v>0</v>
      </c>
      <c r="K259" s="2" t="n">
        <f aca="false">IF(OR(H259="",ISNUMBER(H259)=FALSE()),"",H259+I259+J259)</f>
        <v>60</v>
      </c>
      <c r="L259" s="3" t="n">
        <f aca="false">IFERROR(H259/K259,"")</f>
        <v>0.45</v>
      </c>
    </row>
    <row r="260" customFormat="false" ht="15" hidden="false" customHeight="false" outlineLevel="0" collapsed="false">
      <c r="A260" s="2" t="n">
        <v>259</v>
      </c>
      <c r="B260" s="2" t="s">
        <v>32</v>
      </c>
      <c r="C260" s="2" t="s">
        <v>33</v>
      </c>
      <c r="D260" s="2" t="n">
        <f aca="false">'MJLI 15'!C14</f>
        <v>26276</v>
      </c>
      <c r="E260" s="2" t="str">
        <f aca="false">'MJLI 15'!B14</f>
        <v>AMIMUL EHASAN🟡</v>
      </c>
      <c r="F260" s="2" t="str">
        <f aca="false">'MJLI 15'!D14</f>
        <v>01906-828007</v>
      </c>
      <c r="G260" s="2" t="str">
        <f aca="false">'MJLI 15'!E14</f>
        <v>01777-809997</v>
      </c>
      <c r="H260" s="2" t="n">
        <f aca="false">IFERROR(INDEX(ATT_DATA!$D$2:$D$231,MATCH($B260&amp;"||"&amp;$D260,ATT_DATA!$G$2:$G$231,0)),"")</f>
        <v>41</v>
      </c>
      <c r="I260" s="2" t="n">
        <f aca="false">IFERROR(INDEX(ATT_DATA!$E$2:$E$231,MATCH($B260&amp;"||"&amp;$D260,ATT_DATA!$G$2:$G$231,0)),"")</f>
        <v>16</v>
      </c>
      <c r="J260" s="2" t="n">
        <f aca="false">IFERROR(INDEX(ATT_DATA!$F$2:$F$231,MATCH($B260&amp;"||"&amp;$D260,ATT_DATA!$G$2:$G$231,0)),"")</f>
        <v>3</v>
      </c>
      <c r="K260" s="2" t="n">
        <f aca="false">IF(OR(H260="",ISNUMBER(H260)=FALSE()),"",H260+I260+J260)</f>
        <v>60</v>
      </c>
      <c r="L260" s="3" t="n">
        <f aca="false">IFERROR(H260/K260,"")</f>
        <v>0.683333333333333</v>
      </c>
    </row>
    <row r="261" customFormat="false" ht="15" hidden="false" customHeight="false" outlineLevel="0" collapsed="false">
      <c r="A261" s="2" t="n">
        <v>260</v>
      </c>
      <c r="B261" s="2" t="s">
        <v>32</v>
      </c>
      <c r="C261" s="2" t="s">
        <v>33</v>
      </c>
      <c r="D261" s="2" t="n">
        <f aca="false">'MJLI 15'!C15</f>
        <v>26277</v>
      </c>
      <c r="E261" s="2" t="str">
        <f aca="false">'MJLI 15'!B15</f>
        <v>LAMIA UMMA SADIA🟣</v>
      </c>
      <c r="F261" s="2" t="str">
        <f aca="false">'MJLI 15'!D15</f>
        <v>01636-660963</v>
      </c>
      <c r="G261" s="2" t="str">
        <f aca="false">'MJLI 15'!E15</f>
        <v>01537-337270</v>
      </c>
      <c r="H261" s="2" t="str">
        <f aca="false">IFERROR(INDEX(ATT_DATA!$D$2:$D$231,MATCH($B261&amp;"||"&amp;$D261,ATT_DATA!$G$2:$G$231,0)),"")</f>
        <v/>
      </c>
      <c r="I261" s="2" t="str">
        <f aca="false">IFERROR(INDEX(ATT_DATA!$E$2:$E$231,MATCH($B261&amp;"||"&amp;$D261,ATT_DATA!$G$2:$G$231,0)),"")</f>
        <v/>
      </c>
      <c r="J261" s="2" t="str">
        <f aca="false">IFERROR(INDEX(ATT_DATA!$F$2:$F$231,MATCH($B261&amp;"||"&amp;$D261,ATT_DATA!$G$2:$G$231,0)),"")</f>
        <v/>
      </c>
      <c r="K261" s="2" t="str">
        <f aca="false">IF(OR(H261="",ISNUMBER(H261)=FALSE()),"",H261+I261+J261)</f>
        <v/>
      </c>
      <c r="L261" s="3" t="str">
        <f aca="false">IFERROR(H261/K261,"")</f>
        <v/>
      </c>
    </row>
    <row r="262" customFormat="false" ht="15" hidden="false" customHeight="false" outlineLevel="0" collapsed="false">
      <c r="A262" s="2" t="n">
        <v>261</v>
      </c>
      <c r="B262" s="2" t="s">
        <v>32</v>
      </c>
      <c r="C262" s="2" t="s">
        <v>33</v>
      </c>
      <c r="D262" s="2" t="n">
        <f aca="false">'MJLI 15'!C16</f>
        <v>26239</v>
      </c>
      <c r="E262" s="2" t="str">
        <f aca="false">'MJLI 15'!B16</f>
        <v>MD SUMON HOSSAIN🟢</v>
      </c>
      <c r="F262" s="2" t="str">
        <f aca="false">'MJLI 15'!D16</f>
        <v>01608-068552</v>
      </c>
      <c r="G262" s="2" t="str">
        <f aca="false">'MJLI 15'!E16</f>
        <v>01717-245534</v>
      </c>
      <c r="H262" s="2" t="n">
        <f aca="false">IFERROR(INDEX(ATT_DATA!$D$2:$D$231,MATCH($B262&amp;"||"&amp;$D262,ATT_DATA!$G$2:$G$231,0)),"")</f>
        <v>49</v>
      </c>
      <c r="I262" s="2" t="n">
        <f aca="false">IFERROR(INDEX(ATT_DATA!$E$2:$E$231,MATCH($B262&amp;"||"&amp;$D262,ATT_DATA!$G$2:$G$231,0)),"")</f>
        <v>9</v>
      </c>
      <c r="J262" s="2" t="n">
        <f aca="false">IFERROR(INDEX(ATT_DATA!$F$2:$F$231,MATCH($B262&amp;"||"&amp;$D262,ATT_DATA!$G$2:$G$231,0)),"")</f>
        <v>2</v>
      </c>
      <c r="K262" s="2" t="n">
        <f aca="false">IF(OR(H262="",ISNUMBER(H262)=FALSE()),"",H262+I262+J262)</f>
        <v>60</v>
      </c>
      <c r="L262" s="3" t="n">
        <f aca="false">IFERROR(H262/K262,"")</f>
        <v>0.816666666666667</v>
      </c>
    </row>
    <row r="263" customFormat="false" ht="15" hidden="false" customHeight="false" outlineLevel="0" collapsed="false">
      <c r="A263" s="2" t="n">
        <v>262</v>
      </c>
      <c r="B263" s="2" t="s">
        <v>32</v>
      </c>
      <c r="C263" s="2" t="s">
        <v>33</v>
      </c>
      <c r="D263" s="2" t="n">
        <f aca="false">'MJLI 15'!C17</f>
        <v>26251</v>
      </c>
      <c r="E263" s="2" t="str">
        <f aca="false">'MJLI 15'!B17</f>
        <v>SAIMUR RAHMAN SIAM🟣</v>
      </c>
      <c r="F263" s="2" t="str">
        <f aca="false">'MJLI 15'!D17</f>
        <v>01892-738541</v>
      </c>
      <c r="G263" s="2" t="n">
        <f aca="false">'MJLI 15'!E17</f>
        <v>0</v>
      </c>
      <c r="H263" s="2" t="n">
        <f aca="false">IFERROR(INDEX(ATT_DATA!$D$2:$D$231,MATCH($B263&amp;"||"&amp;$D263,ATT_DATA!$G$2:$G$231,0)),"")</f>
        <v>39</v>
      </c>
      <c r="I263" s="2" t="n">
        <f aca="false">IFERROR(INDEX(ATT_DATA!$E$2:$E$231,MATCH($B263&amp;"||"&amp;$D263,ATT_DATA!$G$2:$G$231,0)),"")</f>
        <v>0</v>
      </c>
      <c r="J263" s="2" t="n">
        <f aca="false">IFERROR(INDEX(ATT_DATA!$F$2:$F$231,MATCH($B263&amp;"||"&amp;$D263,ATT_DATA!$G$2:$G$231,0)),"")</f>
        <v>0</v>
      </c>
      <c r="K263" s="2" t="n">
        <f aca="false">IF(OR(H263="",ISNUMBER(H263)=FALSE()),"",H263+I263+J263)</f>
        <v>39</v>
      </c>
      <c r="L263" s="3" t="n">
        <f aca="false">IFERROR(H263/K263,"")</f>
        <v>1</v>
      </c>
    </row>
    <row r="264" customFormat="false" ht="15" hidden="false" customHeight="false" outlineLevel="0" collapsed="false">
      <c r="A264" s="2" t="n">
        <v>263</v>
      </c>
      <c r="B264" s="2" t="s">
        <v>32</v>
      </c>
      <c r="C264" s="2" t="s">
        <v>33</v>
      </c>
      <c r="D264" s="2" t="n">
        <f aca="false">'MJLI 15'!C18</f>
        <v>26322</v>
      </c>
      <c r="E264" s="2" t="str">
        <f aca="false">'MJLI 15'!B18</f>
        <v>WAHIDUL ISLAM SAFAYET🟡</v>
      </c>
      <c r="F264" s="2" t="str">
        <f aca="false">'MJLI 15'!D18</f>
        <v>01720-653079</v>
      </c>
      <c r="G264" s="2" t="str">
        <f aca="false">'MJLI 15'!E18</f>
        <v>01794-162506</v>
      </c>
      <c r="H264" s="2" t="n">
        <f aca="false">IFERROR(INDEX(ATT_DATA!$D$2:$D$231,MATCH($B264&amp;"||"&amp;$D264,ATT_DATA!$G$2:$G$231,0)),"")</f>
        <v>19</v>
      </c>
      <c r="I264" s="2" t="n">
        <f aca="false">IFERROR(INDEX(ATT_DATA!$E$2:$E$231,MATCH($B264&amp;"||"&amp;$D264,ATT_DATA!$G$2:$G$231,0)),"")</f>
        <v>14</v>
      </c>
      <c r="J264" s="2" t="n">
        <f aca="false">IFERROR(INDEX(ATT_DATA!$F$2:$F$231,MATCH($B264&amp;"||"&amp;$D264,ATT_DATA!$G$2:$G$231,0)),"")</f>
        <v>0</v>
      </c>
      <c r="K264" s="2" t="n">
        <f aca="false">IF(OR(H264="",ISNUMBER(H264)=FALSE()),"",H264+I264+J264)</f>
        <v>33</v>
      </c>
      <c r="L264" s="3" t="n">
        <f aca="false">IFERROR(H264/K264,"")</f>
        <v>0.575757575757576</v>
      </c>
    </row>
    <row r="265" customFormat="false" ht="15" hidden="false" customHeight="false" outlineLevel="0" collapsed="false">
      <c r="A265" s="2" t="n">
        <v>264</v>
      </c>
      <c r="B265" s="2" t="s">
        <v>32</v>
      </c>
      <c r="C265" s="2" t="s">
        <v>33</v>
      </c>
      <c r="D265" s="2" t="n">
        <f aca="false">'MJLI 15'!C19</f>
        <v>26272</v>
      </c>
      <c r="E265" s="2" t="str">
        <f aca="false">'MJLI 15'!B19</f>
        <v>GOPAL NAG🟣</v>
      </c>
      <c r="F265" s="2" t="str">
        <f aca="false">'MJLI 15'!D19</f>
        <v>01841-909597</v>
      </c>
      <c r="G265" s="2" t="n">
        <f aca="false">'MJLI 15'!E19</f>
        <v>0</v>
      </c>
      <c r="H265" s="2" t="n">
        <f aca="false">IFERROR(INDEX(ATT_DATA!$D$2:$D$231,MATCH($B265&amp;"||"&amp;$D265,ATT_DATA!$G$2:$G$231,0)),"")</f>
        <v>59</v>
      </c>
      <c r="I265" s="2" t="n">
        <f aca="false">IFERROR(INDEX(ATT_DATA!$E$2:$E$231,MATCH($B265&amp;"||"&amp;$D265,ATT_DATA!$G$2:$G$231,0)),"")</f>
        <v>1</v>
      </c>
      <c r="J265" s="2" t="n">
        <f aca="false">IFERROR(INDEX(ATT_DATA!$F$2:$F$231,MATCH($B265&amp;"||"&amp;$D265,ATT_DATA!$G$2:$G$231,0)),"")</f>
        <v>0</v>
      </c>
      <c r="K265" s="2" t="n">
        <f aca="false">IF(OR(H265="",ISNUMBER(H265)=FALSE()),"",H265+I265+J265)</f>
        <v>60</v>
      </c>
      <c r="L265" s="3" t="n">
        <f aca="false">IFERROR(H265/K265,"")</f>
        <v>0.983333333333333</v>
      </c>
    </row>
    <row r="266" customFormat="false" ht="15" hidden="false" customHeight="false" outlineLevel="0" collapsed="false">
      <c r="A266" s="2" t="n">
        <v>265</v>
      </c>
      <c r="B266" s="2" t="s">
        <v>32</v>
      </c>
      <c r="C266" s="2" t="s">
        <v>33</v>
      </c>
      <c r="D266" s="2" t="n">
        <f aca="false">'MJLI 15'!C20</f>
        <v>26319</v>
      </c>
      <c r="E266" s="2" t="str">
        <f aca="false">'MJLI 15'!B20</f>
        <v>MUNNA MD NASER AHMED🟣</v>
      </c>
      <c r="F266" s="2" t="str">
        <f aca="false">'MJLI 15'!D20</f>
        <v>01793-246555</v>
      </c>
      <c r="G266" s="2" t="str">
        <f aca="false">'MJLI 15'!E20</f>
        <v>01713-004889</v>
      </c>
      <c r="H266" s="2" t="str">
        <f aca="false">IFERROR(INDEX(ATT_DATA!$D$2:$D$231,MATCH($B266&amp;"||"&amp;$D266,ATT_DATA!$G$2:$G$231,0)),"")</f>
        <v/>
      </c>
      <c r="I266" s="2" t="str">
        <f aca="false">IFERROR(INDEX(ATT_DATA!$E$2:$E$231,MATCH($B266&amp;"||"&amp;$D266,ATT_DATA!$G$2:$G$231,0)),"")</f>
        <v/>
      </c>
      <c r="J266" s="2" t="str">
        <f aca="false">IFERROR(INDEX(ATT_DATA!$F$2:$F$231,MATCH($B266&amp;"||"&amp;$D266,ATT_DATA!$G$2:$G$231,0)),"")</f>
        <v/>
      </c>
      <c r="K266" s="2" t="str">
        <f aca="false">IF(OR(H266="",ISNUMBER(H266)=FALSE()),"",H266+I266+J266)</f>
        <v/>
      </c>
      <c r="L266" s="3" t="str">
        <f aca="false">IFERROR(H266/K266,"")</f>
        <v/>
      </c>
    </row>
    <row r="267" customFormat="false" ht="15" hidden="false" customHeight="false" outlineLevel="0" collapsed="false">
      <c r="A267" s="2" t="n">
        <v>266</v>
      </c>
      <c r="B267" s="2" t="s">
        <v>34</v>
      </c>
      <c r="C267" s="2" t="s">
        <v>31</v>
      </c>
      <c r="D267" s="2" t="n">
        <f aca="false">'N4-26A'!C4</f>
        <v>26249</v>
      </c>
      <c r="E267" s="2" t="str">
        <f aca="false">'N4-26A'!B4</f>
        <v>MD TAWHID </v>
      </c>
      <c r="F267" s="2" t="str">
        <f aca="false">'N4-26A'!D4</f>
        <v>01643-873866</v>
      </c>
      <c r="G267" s="2" t="n">
        <f aca="false">'N4-26A'!E4</f>
        <v>0</v>
      </c>
      <c r="H267" s="2" t="n">
        <f aca="false">IFERROR(INDEX(ATT_DATA!$D$2:$D$231,MATCH($B267&amp;"||"&amp;$D267,ATT_DATA!$G$2:$G$231,0)),"")</f>
        <v>16</v>
      </c>
      <c r="I267" s="2" t="n">
        <f aca="false">IFERROR(INDEX(ATT_DATA!$E$2:$E$231,MATCH($B267&amp;"||"&amp;$D267,ATT_DATA!$G$2:$G$231,0)),"")</f>
        <v>19</v>
      </c>
      <c r="J267" s="2" t="n">
        <f aca="false">IFERROR(INDEX(ATT_DATA!$F$2:$F$231,MATCH($B267&amp;"||"&amp;$D267,ATT_DATA!$G$2:$G$231,0)),"")</f>
        <v>0</v>
      </c>
      <c r="K267" s="2" t="n">
        <f aca="false">IF(OR(H267="",ISNUMBER(H267)=FALSE()),"",H267+I267+J267)</f>
        <v>35</v>
      </c>
      <c r="L267" s="3" t="n">
        <f aca="false">IFERROR(H267/K267,"")</f>
        <v>0.457142857142857</v>
      </c>
    </row>
    <row r="268" customFormat="false" ht="15" hidden="false" customHeight="false" outlineLevel="0" collapsed="false">
      <c r="A268" s="2" t="n">
        <v>267</v>
      </c>
      <c r="B268" s="2" t="s">
        <v>34</v>
      </c>
      <c r="C268" s="2" t="s">
        <v>31</v>
      </c>
      <c r="D268" s="2" t="n">
        <f aca="false">'N4-26A'!C5</f>
        <v>25147</v>
      </c>
      <c r="E268" s="2" t="str">
        <f aca="false">'N4-26A'!B5</f>
        <v>MD TOUFIK AHMED</v>
      </c>
      <c r="F268" s="2" t="str">
        <f aca="false">'N4-26A'!D5</f>
        <v>01339-633559</v>
      </c>
      <c r="G268" s="2" t="str">
        <f aca="false">'N4-26A'!E5</f>
        <v>01675-551262</v>
      </c>
      <c r="H268" s="2" t="n">
        <f aca="false">IFERROR(INDEX(ATT_DATA!$D$2:$D$231,MATCH($B268&amp;"||"&amp;$D268,ATT_DATA!$G$2:$G$231,0)),"")</f>
        <v>22</v>
      </c>
      <c r="I268" s="2" t="n">
        <f aca="false">IFERROR(INDEX(ATT_DATA!$E$2:$E$231,MATCH($B268&amp;"||"&amp;$D268,ATT_DATA!$G$2:$G$231,0)),"")</f>
        <v>12</v>
      </c>
      <c r="J268" s="2" t="n">
        <f aca="false">IFERROR(INDEX(ATT_DATA!$F$2:$F$231,MATCH($B268&amp;"||"&amp;$D268,ATT_DATA!$G$2:$G$231,0)),"")</f>
        <v>1</v>
      </c>
      <c r="K268" s="2" t="n">
        <f aca="false">IF(OR(H268="",ISNUMBER(H268)=FALSE()),"",H268+I268+J268)</f>
        <v>35</v>
      </c>
      <c r="L268" s="3" t="n">
        <f aca="false">IFERROR(H268/K268,"")</f>
        <v>0.628571428571429</v>
      </c>
    </row>
    <row r="269" customFormat="false" ht="15" hidden="false" customHeight="false" outlineLevel="0" collapsed="false">
      <c r="A269" s="2" t="n">
        <v>268</v>
      </c>
      <c r="B269" s="2" t="s">
        <v>34</v>
      </c>
      <c r="C269" s="2" t="s">
        <v>31</v>
      </c>
      <c r="D269" s="2" t="n">
        <f aca="false">'N4-26A'!C6</f>
        <v>25162</v>
      </c>
      <c r="E269" s="2" t="str">
        <f aca="false">'N4-26A'!B6</f>
        <v>MUSFIQUR MAHMUD</v>
      </c>
      <c r="F269" s="2" t="str">
        <f aca="false">'N4-26A'!D6</f>
        <v>01788-444277</v>
      </c>
      <c r="G269" s="2" t="str">
        <f aca="false">'N4-26A'!E6</f>
        <v>01818-459512</v>
      </c>
      <c r="H269" s="2" t="n">
        <f aca="false">IFERROR(INDEX(ATT_DATA!$D$2:$D$231,MATCH($B269&amp;"||"&amp;$D269,ATT_DATA!$G$2:$G$231,0)),"")</f>
        <v>27</v>
      </c>
      <c r="I269" s="2" t="n">
        <f aca="false">IFERROR(INDEX(ATT_DATA!$E$2:$E$231,MATCH($B269&amp;"||"&amp;$D269,ATT_DATA!$G$2:$G$231,0)),"")</f>
        <v>6</v>
      </c>
      <c r="J269" s="2" t="n">
        <f aca="false">IFERROR(INDEX(ATT_DATA!$F$2:$F$231,MATCH($B269&amp;"||"&amp;$D269,ATT_DATA!$G$2:$G$231,0)),"")</f>
        <v>2</v>
      </c>
      <c r="K269" s="2" t="n">
        <f aca="false">IF(OR(H269="",ISNUMBER(H269)=FALSE()),"",H269+I269+J269)</f>
        <v>35</v>
      </c>
      <c r="L269" s="3" t="n">
        <f aca="false">IFERROR(H269/K269,"")</f>
        <v>0.771428571428572</v>
      </c>
    </row>
    <row r="270" customFormat="false" ht="15" hidden="false" customHeight="false" outlineLevel="0" collapsed="false">
      <c r="A270" s="2" t="n">
        <v>269</v>
      </c>
      <c r="B270" s="2" t="s">
        <v>34</v>
      </c>
      <c r="C270" s="2" t="s">
        <v>31</v>
      </c>
      <c r="D270" s="2" t="n">
        <f aca="false">'N4-26A'!C7</f>
        <v>25156</v>
      </c>
      <c r="E270" s="2" t="str">
        <f aca="false">'N4-26A'!B7</f>
        <v>SIAM DEWAN</v>
      </c>
      <c r="F270" s="2" t="str">
        <f aca="false">'N4-26A'!D7</f>
        <v>01866-449803</v>
      </c>
      <c r="G270" s="2" t="n">
        <f aca="false">'N4-26A'!E7</f>
        <v>0</v>
      </c>
      <c r="H270" s="2" t="n">
        <f aca="false">IFERROR(INDEX(ATT_DATA!$D$2:$D$231,MATCH($B270&amp;"||"&amp;$D270,ATT_DATA!$G$2:$G$231,0)),"")</f>
        <v>19</v>
      </c>
      <c r="I270" s="2" t="n">
        <f aca="false">IFERROR(INDEX(ATT_DATA!$E$2:$E$231,MATCH($B270&amp;"||"&amp;$D270,ATT_DATA!$G$2:$G$231,0)),"")</f>
        <v>15</v>
      </c>
      <c r="J270" s="2" t="n">
        <f aca="false">IFERROR(INDEX(ATT_DATA!$F$2:$F$231,MATCH($B270&amp;"||"&amp;$D270,ATT_DATA!$G$2:$G$231,0)),"")</f>
        <v>1</v>
      </c>
      <c r="K270" s="2" t="n">
        <f aca="false">IF(OR(H270="",ISNUMBER(H270)=FALSE()),"",H270+I270+J270)</f>
        <v>35</v>
      </c>
      <c r="L270" s="3" t="n">
        <f aca="false">IFERROR(H270/K270,"")</f>
        <v>0.542857142857143</v>
      </c>
    </row>
    <row r="271" customFormat="false" ht="15" hidden="false" customHeight="false" outlineLevel="0" collapsed="false">
      <c r="A271" s="2" t="n">
        <v>270</v>
      </c>
      <c r="B271" s="2" t="s">
        <v>34</v>
      </c>
      <c r="C271" s="2" t="s">
        <v>31</v>
      </c>
      <c r="D271" s="2" t="n">
        <f aca="false">'N4-26A'!C8</f>
        <v>25159</v>
      </c>
      <c r="E271" s="2" t="str">
        <f aca="false">'N4-26A'!B8</f>
        <v>ANAMUL HASAN SABBIR </v>
      </c>
      <c r="F271" s="2" t="str">
        <f aca="false">'N4-26A'!D8</f>
        <v>01828-023752</v>
      </c>
      <c r="G271" s="2" t="str">
        <f aca="false">'N4-26A'!E8</f>
        <v>01843-168007</v>
      </c>
      <c r="H271" s="2" t="n">
        <f aca="false">IFERROR(INDEX(ATT_DATA!$D$2:$D$231,MATCH($B271&amp;"||"&amp;$D271,ATT_DATA!$G$2:$G$231,0)),"")</f>
        <v>30</v>
      </c>
      <c r="I271" s="2" t="n">
        <f aca="false">IFERROR(INDEX(ATT_DATA!$E$2:$E$231,MATCH($B271&amp;"||"&amp;$D271,ATT_DATA!$G$2:$G$231,0)),"")</f>
        <v>5</v>
      </c>
      <c r="J271" s="2" t="n">
        <f aca="false">IFERROR(INDEX(ATT_DATA!$F$2:$F$231,MATCH($B271&amp;"||"&amp;$D271,ATT_DATA!$G$2:$G$231,0)),"")</f>
        <v>0</v>
      </c>
      <c r="K271" s="2" t="n">
        <f aca="false">IF(OR(H271="",ISNUMBER(H271)=FALSE()),"",H271+I271+J271)</f>
        <v>35</v>
      </c>
      <c r="L271" s="3" t="n">
        <f aca="false">IFERROR(H271/K271,"")</f>
        <v>0.857142857142857</v>
      </c>
    </row>
    <row r="272" customFormat="false" ht="15" hidden="false" customHeight="false" outlineLevel="0" collapsed="false">
      <c r="A272" s="2" t="n">
        <v>271</v>
      </c>
      <c r="B272" s="2" t="s">
        <v>34</v>
      </c>
      <c r="C272" s="2" t="s">
        <v>31</v>
      </c>
      <c r="D272" s="2" t="n">
        <f aca="false">'N4-26A'!C9</f>
        <v>25171</v>
      </c>
      <c r="E272" s="2" t="str">
        <f aca="false">'N4-26A'!B9</f>
        <v>MD JUBAER HOSSAIN</v>
      </c>
      <c r="F272" s="2" t="str">
        <f aca="false">'N4-26A'!D9</f>
        <v>01978-705578</v>
      </c>
      <c r="G272" s="2" t="str">
        <f aca="false">'N4-26A'!E9</f>
        <v>01715-050334</v>
      </c>
      <c r="H272" s="2" t="str">
        <f aca="false">IFERROR(INDEX(ATT_DATA!$D$2:$D$231,MATCH($B272&amp;"||"&amp;$D272,ATT_DATA!$G$2:$G$231,0)),"")</f>
        <v/>
      </c>
      <c r="I272" s="2" t="str">
        <f aca="false">IFERROR(INDEX(ATT_DATA!$E$2:$E$231,MATCH($B272&amp;"||"&amp;$D272,ATT_DATA!$G$2:$G$231,0)),"")</f>
        <v/>
      </c>
      <c r="J272" s="2" t="str">
        <f aca="false">IFERROR(INDEX(ATT_DATA!$F$2:$F$231,MATCH($B272&amp;"||"&amp;$D272,ATT_DATA!$G$2:$G$231,0)),"")</f>
        <v/>
      </c>
      <c r="K272" s="2" t="str">
        <f aca="false">IF(OR(H272="",ISNUMBER(H272)=FALSE()),"",H272+I272+J272)</f>
        <v/>
      </c>
      <c r="L272" s="3" t="str">
        <f aca="false">IFERROR(H272/K272,"")</f>
        <v/>
      </c>
    </row>
    <row r="273" customFormat="false" ht="15" hidden="false" customHeight="false" outlineLevel="0" collapsed="false">
      <c r="A273" s="2" t="n">
        <v>272</v>
      </c>
      <c r="B273" s="2" t="s">
        <v>34</v>
      </c>
      <c r="C273" s="2" t="s">
        <v>31</v>
      </c>
      <c r="D273" s="2" t="n">
        <f aca="false">'N4-26A'!C10</f>
        <v>223</v>
      </c>
      <c r="E273" s="2" t="str">
        <f aca="false">'N4-26A'!B10</f>
        <v>MD.IKHTIYAR HOSEN</v>
      </c>
      <c r="F273" s="2" t="str">
        <f aca="false">'N4-26A'!D10</f>
        <v>01609-731308</v>
      </c>
      <c r="G273" s="2" t="n">
        <f aca="false">'N4-26A'!E10</f>
        <v>0</v>
      </c>
      <c r="H273" s="2" t="n">
        <f aca="false">IFERROR(INDEX(ATT_DATA!$D$2:$D$231,MATCH($B273&amp;"||"&amp;$D273,ATT_DATA!$G$2:$G$231,0)),"")</f>
        <v>22</v>
      </c>
      <c r="I273" s="2" t="n">
        <f aca="false">IFERROR(INDEX(ATT_DATA!$E$2:$E$231,MATCH($B273&amp;"||"&amp;$D273,ATT_DATA!$G$2:$G$231,0)),"")</f>
        <v>2</v>
      </c>
      <c r="J273" s="2" t="n">
        <f aca="false">IFERROR(INDEX(ATT_DATA!$F$2:$F$231,MATCH($B273&amp;"||"&amp;$D273,ATT_DATA!$G$2:$G$231,0)),"")</f>
        <v>0</v>
      </c>
      <c r="K273" s="2" t="n">
        <f aca="false">IF(OR(H273="",ISNUMBER(H273)=FALSE()),"",H273+I273+J273)</f>
        <v>24</v>
      </c>
      <c r="L273" s="3" t="n">
        <f aca="false">IFERROR(H273/K273,"")</f>
        <v>0.916666666666667</v>
      </c>
    </row>
    <row r="274" customFormat="false" ht="15" hidden="false" customHeight="false" outlineLevel="0" collapsed="false">
      <c r="A274" s="2" t="n">
        <v>273</v>
      </c>
      <c r="B274" s="2" t="s">
        <v>34</v>
      </c>
      <c r="C274" s="2" t="s">
        <v>31</v>
      </c>
      <c r="D274" s="2" t="n">
        <f aca="false">'N4-26A'!C11</f>
        <v>25153</v>
      </c>
      <c r="E274" s="2" t="str">
        <f aca="false">'N4-26A'!B11</f>
        <v>AL JUBAIR</v>
      </c>
      <c r="F274" s="2" t="str">
        <f aca="false">'N4-26A'!D11</f>
        <v>01873-652079</v>
      </c>
      <c r="G274" s="2" t="str">
        <f aca="false">'N4-26A'!E11</f>
        <v>01823-417527</v>
      </c>
      <c r="H274" s="2" t="n">
        <f aca="false">IFERROR(INDEX(ATT_DATA!$D$2:$D$231,MATCH($B274&amp;"||"&amp;$D274,ATT_DATA!$G$2:$G$231,0)),"")</f>
        <v>8</v>
      </c>
      <c r="I274" s="2" t="n">
        <f aca="false">IFERROR(INDEX(ATT_DATA!$E$2:$E$231,MATCH($B274&amp;"||"&amp;$D274,ATT_DATA!$G$2:$G$231,0)),"")</f>
        <v>15</v>
      </c>
      <c r="J274" s="2" t="n">
        <f aca="false">IFERROR(INDEX(ATT_DATA!$F$2:$F$231,MATCH($B274&amp;"||"&amp;$D274,ATT_DATA!$G$2:$G$231,0)),"")</f>
        <v>1</v>
      </c>
      <c r="K274" s="2" t="n">
        <f aca="false">IF(OR(H274="",ISNUMBER(H274)=FALSE()),"",H274+I274+J274)</f>
        <v>24</v>
      </c>
      <c r="L274" s="3" t="n">
        <f aca="false">IFERROR(H274/K274,"")</f>
        <v>0.333333333333333</v>
      </c>
    </row>
    <row r="275" customFormat="false" ht="15" hidden="false" customHeight="false" outlineLevel="0" collapsed="false">
      <c r="A275" s="2" t="n">
        <v>274</v>
      </c>
      <c r="B275" s="2" t="s">
        <v>34</v>
      </c>
      <c r="C275" s="2" t="s">
        <v>31</v>
      </c>
      <c r="D275" s="2" t="n">
        <f aca="false">'N4-26A'!C12</f>
        <v>199</v>
      </c>
      <c r="E275" s="2" t="str">
        <f aca="false">'N4-26A'!B12</f>
        <v>Tamim Visty</v>
      </c>
      <c r="F275" s="2" t="str">
        <f aca="false">'N4-26A'!D12</f>
        <v>01810-514924</v>
      </c>
      <c r="G275" s="2" t="n">
        <f aca="false">'N4-26A'!E12</f>
        <v>0</v>
      </c>
      <c r="H275" s="2" t="n">
        <f aca="false">IFERROR(INDEX(ATT_DATA!$D$2:$D$231,MATCH($B275&amp;"||"&amp;$D275,ATT_DATA!$G$2:$G$231,0)),"")</f>
        <v>24</v>
      </c>
      <c r="I275" s="2" t="n">
        <f aca="false">IFERROR(INDEX(ATT_DATA!$E$2:$E$231,MATCH($B275&amp;"||"&amp;$D275,ATT_DATA!$G$2:$G$231,0)),"")</f>
        <v>10</v>
      </c>
      <c r="J275" s="2" t="n">
        <f aca="false">IFERROR(INDEX(ATT_DATA!$F$2:$F$231,MATCH($B275&amp;"||"&amp;$D275,ATT_DATA!$G$2:$G$231,0)),"")</f>
        <v>1</v>
      </c>
      <c r="K275" s="2" t="n">
        <f aca="false">IF(OR(H275="",ISNUMBER(H275)=FALSE()),"",H275+I275+J275)</f>
        <v>35</v>
      </c>
      <c r="L275" s="3" t="n">
        <f aca="false">IFERROR(H275/K275,"")</f>
        <v>0.685714285714286</v>
      </c>
    </row>
    <row r="276" customFormat="false" ht="15" hidden="false" customHeight="false" outlineLevel="0" collapsed="false">
      <c r="A276" s="2" t="n">
        <v>275</v>
      </c>
      <c r="B276" s="2" t="s">
        <v>35</v>
      </c>
      <c r="C276" s="2" t="s">
        <v>25</v>
      </c>
      <c r="D276" s="2" t="n">
        <f aca="false">'N4-26B'!D4</f>
        <v>25201</v>
      </c>
      <c r="E276" s="2" t="str">
        <f aca="false">'N4-26B'!B4</f>
        <v>HASIBUL ALOM RAPTY</v>
      </c>
      <c r="F276" s="2" t="n">
        <f aca="false">'N4-26B'!E4</f>
        <v>0</v>
      </c>
      <c r="G276" s="2" t="n">
        <f aca="false">'N4-26B'!F4</f>
        <v>0</v>
      </c>
      <c r="H276" s="2" t="n">
        <f aca="false">IFERROR(INDEX(ATT_DATA!$D$2:$D$231,MATCH($B276&amp;"||"&amp;$D276,ATT_DATA!$G$2:$G$231,0)),"")</f>
        <v>13</v>
      </c>
      <c r="I276" s="2" t="n">
        <f aca="false">IFERROR(INDEX(ATT_DATA!$E$2:$E$231,MATCH($B276&amp;"||"&amp;$D276,ATT_DATA!$G$2:$G$231,0)),"")</f>
        <v>24</v>
      </c>
      <c r="J276" s="2" t="n">
        <f aca="false">IFERROR(INDEX(ATT_DATA!$F$2:$F$231,MATCH($B276&amp;"||"&amp;$D276,ATT_DATA!$G$2:$G$231,0)),"")</f>
        <v>1</v>
      </c>
      <c r="K276" s="2" t="n">
        <f aca="false">IF(OR(H276="",ISNUMBER(H276)=FALSE()),"",H276+I276+J276)</f>
        <v>38</v>
      </c>
      <c r="L276" s="3" t="n">
        <f aca="false">IFERROR(H276/K276,"")</f>
        <v>0.342105263157895</v>
      </c>
    </row>
    <row r="277" customFormat="false" ht="15" hidden="false" customHeight="false" outlineLevel="0" collapsed="false">
      <c r="A277" s="2" t="n">
        <v>276</v>
      </c>
      <c r="B277" s="2" t="s">
        <v>35</v>
      </c>
      <c r="C277" s="2" t="s">
        <v>25</v>
      </c>
      <c r="D277" s="2" t="n">
        <f aca="false">'N4-26B'!D5</f>
        <v>25214</v>
      </c>
      <c r="E277" s="2" t="str">
        <f aca="false">'N4-26B'!B5</f>
        <v>SALMA AKTER</v>
      </c>
      <c r="F277" s="2" t="str">
        <f aca="false">'N4-26B'!E5</f>
        <v>01951-640366</v>
      </c>
      <c r="G277" s="2" t="str">
        <f aca="false">'N4-26B'!F5</f>
        <v>01718-309320</v>
      </c>
      <c r="H277" s="2" t="n">
        <f aca="false">IFERROR(INDEX(ATT_DATA!$D$2:$D$231,MATCH($B277&amp;"||"&amp;$D277,ATT_DATA!$G$2:$G$231,0)),"")</f>
        <v>31</v>
      </c>
      <c r="I277" s="2" t="n">
        <f aca="false">IFERROR(INDEX(ATT_DATA!$E$2:$E$231,MATCH($B277&amp;"||"&amp;$D277,ATT_DATA!$G$2:$G$231,0)),"")</f>
        <v>4</v>
      </c>
      <c r="J277" s="2" t="n">
        <f aca="false">IFERROR(INDEX(ATT_DATA!$F$2:$F$231,MATCH($B277&amp;"||"&amp;$D277,ATT_DATA!$G$2:$G$231,0)),"")</f>
        <v>1</v>
      </c>
      <c r="K277" s="2" t="n">
        <f aca="false">IF(OR(H277="",ISNUMBER(H277)=FALSE()),"",H277+I277+J277)</f>
        <v>36</v>
      </c>
      <c r="L277" s="3" t="n">
        <f aca="false">IFERROR(H277/K277,"")</f>
        <v>0.861111111111111</v>
      </c>
    </row>
    <row r="278" customFormat="false" ht="15" hidden="false" customHeight="false" outlineLevel="0" collapsed="false">
      <c r="A278" s="2" t="n">
        <v>277</v>
      </c>
      <c r="B278" s="2" t="s">
        <v>35</v>
      </c>
      <c r="C278" s="2" t="s">
        <v>25</v>
      </c>
      <c r="D278" s="2" t="n">
        <f aca="false">'N4-26B'!D6</f>
        <v>25206</v>
      </c>
      <c r="E278" s="2" t="str">
        <f aca="false">'N4-26B'!B6</f>
        <v>DIP ROY</v>
      </c>
      <c r="F278" s="2" t="str">
        <f aca="false">'N4-26B'!E6</f>
        <v>01749-387312</v>
      </c>
      <c r="G278" s="2" t="str">
        <f aca="false">'N4-26B'!F6</f>
        <v>01983-467220</v>
      </c>
      <c r="H278" s="2" t="n">
        <f aca="false">IFERROR(INDEX(ATT_DATA!$D$2:$D$231,MATCH($B278&amp;"||"&amp;$D278,ATT_DATA!$G$2:$G$231,0)),"")</f>
        <v>32</v>
      </c>
      <c r="I278" s="2" t="n">
        <f aca="false">IFERROR(INDEX(ATT_DATA!$E$2:$E$231,MATCH($B278&amp;"||"&amp;$D278,ATT_DATA!$G$2:$G$231,0)),"")</f>
        <v>4</v>
      </c>
      <c r="J278" s="2" t="n">
        <f aca="false">IFERROR(INDEX(ATT_DATA!$F$2:$F$231,MATCH($B278&amp;"||"&amp;$D278,ATT_DATA!$G$2:$G$231,0)),"")</f>
        <v>0</v>
      </c>
      <c r="K278" s="2" t="n">
        <f aca="false">IF(OR(H278="",ISNUMBER(H278)=FALSE()),"",H278+I278+J278)</f>
        <v>36</v>
      </c>
      <c r="L278" s="3" t="n">
        <f aca="false">IFERROR(H278/K278,"")</f>
        <v>0.888888888888889</v>
      </c>
    </row>
    <row r="279" customFormat="false" ht="15" hidden="false" customHeight="false" outlineLevel="0" collapsed="false">
      <c r="A279" s="2" t="n">
        <v>278</v>
      </c>
      <c r="B279" s="2" t="s">
        <v>35</v>
      </c>
      <c r="C279" s="2" t="s">
        <v>25</v>
      </c>
      <c r="D279" s="2" t="n">
        <f aca="false">'N4-26B'!D7</f>
        <v>25197</v>
      </c>
      <c r="E279" s="2" t="str">
        <f aca="false">'N4-26B'!B7</f>
        <v>RABBY MIA</v>
      </c>
      <c r="F279" s="2" t="str">
        <f aca="false">'N4-26B'!E7</f>
        <v>01860-526566</v>
      </c>
      <c r="G279" s="2" t="str">
        <f aca="false">'N4-26B'!F7</f>
        <v>01766-078688</v>
      </c>
      <c r="H279" s="2" t="n">
        <f aca="false">IFERROR(INDEX(ATT_DATA!$D$2:$D$231,MATCH($B279&amp;"||"&amp;$D279,ATT_DATA!$G$2:$G$231,0)),"")</f>
        <v>22</v>
      </c>
      <c r="I279" s="2" t="n">
        <f aca="false">IFERROR(INDEX(ATT_DATA!$E$2:$E$231,MATCH($B279&amp;"||"&amp;$D279,ATT_DATA!$G$2:$G$231,0)),"")</f>
        <v>13</v>
      </c>
      <c r="J279" s="2" t="n">
        <f aca="false">IFERROR(INDEX(ATT_DATA!$F$2:$F$231,MATCH($B279&amp;"||"&amp;$D279,ATT_DATA!$G$2:$G$231,0)),"")</f>
        <v>1</v>
      </c>
      <c r="K279" s="2" t="n">
        <f aca="false">IF(OR(H279="",ISNUMBER(H279)=FALSE()),"",H279+I279+J279)</f>
        <v>36</v>
      </c>
      <c r="L279" s="3" t="n">
        <f aca="false">IFERROR(H279/K279,"")</f>
        <v>0.611111111111111</v>
      </c>
    </row>
    <row r="280" customFormat="false" ht="15" hidden="false" customHeight="false" outlineLevel="0" collapsed="false">
      <c r="A280" s="2" t="n">
        <v>279</v>
      </c>
      <c r="B280" s="2" t="s">
        <v>35</v>
      </c>
      <c r="C280" s="2" t="s">
        <v>25</v>
      </c>
      <c r="D280" s="2" t="n">
        <f aca="false">'N4-26B'!D8</f>
        <v>25173</v>
      </c>
      <c r="E280" s="2" t="str">
        <f aca="false">'N4-26B'!B8</f>
        <v>NUSHRAT</v>
      </c>
      <c r="F280" s="2" t="n">
        <f aca="false">'N4-26B'!E8</f>
        <v>0</v>
      </c>
      <c r="G280" s="2" t="n">
        <f aca="false">'N4-26B'!F8</f>
        <v>0</v>
      </c>
      <c r="H280" s="2" t="n">
        <f aca="false">IFERROR(INDEX(ATT_DATA!$D$2:$D$231,MATCH($B280&amp;"||"&amp;$D280,ATT_DATA!$G$2:$G$231,0)),"")</f>
        <v>25</v>
      </c>
      <c r="I280" s="2" t="n">
        <f aca="false">IFERROR(INDEX(ATT_DATA!$E$2:$E$231,MATCH($B280&amp;"||"&amp;$D280,ATT_DATA!$G$2:$G$231,0)),"")</f>
        <v>10</v>
      </c>
      <c r="J280" s="2" t="n">
        <f aca="false">IFERROR(INDEX(ATT_DATA!$F$2:$F$231,MATCH($B280&amp;"||"&amp;$D280,ATT_DATA!$G$2:$G$231,0)),"")</f>
        <v>1</v>
      </c>
      <c r="K280" s="2" t="n">
        <f aca="false">IF(OR(H280="",ISNUMBER(H280)=FALSE()),"",H280+I280+J280)</f>
        <v>36</v>
      </c>
      <c r="L280" s="3" t="n">
        <f aca="false">IFERROR(H280/K280,"")</f>
        <v>0.694444444444444</v>
      </c>
    </row>
    <row r="281" customFormat="false" ht="15" hidden="false" customHeight="false" outlineLevel="0" collapsed="false">
      <c r="A281" s="2" t="n">
        <v>280</v>
      </c>
      <c r="B281" s="2" t="s">
        <v>35</v>
      </c>
      <c r="C281" s="2" t="s">
        <v>25</v>
      </c>
      <c r="D281" s="2" t="n">
        <f aca="false">'N4-26B'!D9</f>
        <v>25212</v>
      </c>
      <c r="E281" s="2" t="str">
        <f aca="false">'N4-26B'!B9</f>
        <v>FAYSAL AHMED</v>
      </c>
      <c r="F281" s="2" t="str">
        <f aca="false">'N4-26B'!E9</f>
        <v>01766-952913</v>
      </c>
      <c r="G281" s="2" t="str">
        <f aca="false">'N4-26B'!F9</f>
        <v>01727-963314</v>
      </c>
      <c r="H281" s="2" t="n">
        <f aca="false">IFERROR(INDEX(ATT_DATA!$D$2:$D$231,MATCH($B281&amp;"||"&amp;$D281,ATT_DATA!$G$2:$G$231,0)),"")</f>
        <v>25</v>
      </c>
      <c r="I281" s="2" t="n">
        <f aca="false">IFERROR(INDEX(ATT_DATA!$E$2:$E$231,MATCH($B281&amp;"||"&amp;$D281,ATT_DATA!$G$2:$G$231,0)),"")</f>
        <v>11</v>
      </c>
      <c r="J281" s="2" t="n">
        <f aca="false">IFERROR(INDEX(ATT_DATA!$F$2:$F$231,MATCH($B281&amp;"||"&amp;$D281,ATT_DATA!$G$2:$G$231,0)),"")</f>
        <v>0</v>
      </c>
      <c r="K281" s="2" t="n">
        <f aca="false">IF(OR(H281="",ISNUMBER(H281)=FALSE()),"",H281+I281+J281)</f>
        <v>36</v>
      </c>
      <c r="L281" s="3" t="n">
        <f aca="false">IFERROR(H281/K281,"")</f>
        <v>0.694444444444444</v>
      </c>
    </row>
    <row r="282" customFormat="false" ht="15" hidden="false" customHeight="false" outlineLevel="0" collapsed="false">
      <c r="A282" s="2" t="n">
        <v>281</v>
      </c>
      <c r="B282" s="2" t="s">
        <v>35</v>
      </c>
      <c r="C282" s="2" t="s">
        <v>25</v>
      </c>
      <c r="D282" s="2" t="n">
        <f aca="false">'N4-26B'!D10</f>
        <v>25230</v>
      </c>
      <c r="E282" s="2" t="str">
        <f aca="false">'N4-26B'!B10</f>
        <v>SADIA  ISLAM</v>
      </c>
      <c r="F282" s="2" t="str">
        <f aca="false">'N4-26B'!E10</f>
        <v>01876-519488</v>
      </c>
      <c r="G282" s="2" t="str">
        <f aca="false">'N4-26B'!F10</f>
        <v>01799-444255</v>
      </c>
      <c r="H282" s="2" t="n">
        <f aca="false">IFERROR(INDEX(ATT_DATA!$D$2:$D$231,MATCH($B282&amp;"||"&amp;$D282,ATT_DATA!$G$2:$G$231,0)),"")</f>
        <v>9</v>
      </c>
      <c r="I282" s="2" t="n">
        <f aca="false">IFERROR(INDEX(ATT_DATA!$E$2:$E$231,MATCH($B282&amp;"||"&amp;$D282,ATT_DATA!$G$2:$G$231,0)),"")</f>
        <v>27</v>
      </c>
      <c r="J282" s="2" t="n">
        <f aca="false">IFERROR(INDEX(ATT_DATA!$F$2:$F$231,MATCH($B282&amp;"||"&amp;$D282,ATT_DATA!$G$2:$G$231,0)),"")</f>
        <v>0</v>
      </c>
      <c r="K282" s="2" t="n">
        <f aca="false">IF(OR(H282="",ISNUMBER(H282)=FALSE()),"",H282+I282+J282)</f>
        <v>36</v>
      </c>
      <c r="L282" s="3" t="n">
        <f aca="false">IFERROR(H282/K282,"")</f>
        <v>0.25</v>
      </c>
    </row>
    <row r="283" customFormat="false" ht="15" hidden="false" customHeight="false" outlineLevel="0" collapsed="false">
      <c r="A283" s="2" t="n">
        <v>282</v>
      </c>
      <c r="B283" s="2" t="s">
        <v>35</v>
      </c>
      <c r="C283" s="2" t="s">
        <v>25</v>
      </c>
      <c r="D283" s="2" t="n">
        <f aca="false">'N4-26B'!D11</f>
        <v>26296</v>
      </c>
      <c r="E283" s="2" t="str">
        <f aca="false">'N4-26B'!B11</f>
        <v>NAHAR SHOVA</v>
      </c>
      <c r="F283" s="2" t="str">
        <f aca="false">'N4-26B'!E11</f>
        <v>01730-845444</v>
      </c>
      <c r="G283" s="2" t="n">
        <f aca="false">'N4-26B'!F11</f>
        <v>0</v>
      </c>
      <c r="H283" s="2" t="n">
        <f aca="false">IFERROR(INDEX(ATT_DATA!$D$2:$D$231,MATCH($B283&amp;"||"&amp;$D283,ATT_DATA!$G$2:$G$231,0)),"")</f>
        <v>19</v>
      </c>
      <c r="I283" s="2" t="n">
        <f aca="false">IFERROR(INDEX(ATT_DATA!$E$2:$E$231,MATCH($B283&amp;"||"&amp;$D283,ATT_DATA!$G$2:$G$231,0)),"")</f>
        <v>14</v>
      </c>
      <c r="J283" s="2" t="n">
        <f aca="false">IFERROR(INDEX(ATT_DATA!$F$2:$F$231,MATCH($B283&amp;"||"&amp;$D283,ATT_DATA!$G$2:$G$231,0)),"")</f>
        <v>3</v>
      </c>
      <c r="K283" s="2" t="n">
        <f aca="false">IF(OR(H283="",ISNUMBER(H283)=FALSE()),"",H283+I283+J283)</f>
        <v>36</v>
      </c>
      <c r="L283" s="3" t="n">
        <f aca="false">IFERROR(H283/K283,"")</f>
        <v>0.527777777777778</v>
      </c>
    </row>
    <row r="284" customFormat="false" ht="15" hidden="false" customHeight="false" outlineLevel="0" collapsed="false">
      <c r="A284" s="2" t="n">
        <v>283</v>
      </c>
      <c r="B284" s="2" t="s">
        <v>35</v>
      </c>
      <c r="C284" s="2" t="s">
        <v>25</v>
      </c>
      <c r="D284" s="2" t="n">
        <f aca="false">'N4-26B'!D12</f>
        <v>26306</v>
      </c>
      <c r="E284" s="2" t="str">
        <f aca="false">'N4-26B'!B12</f>
        <v>MD. IBRAHIM HASAN</v>
      </c>
      <c r="F284" s="2" t="str">
        <f aca="false">'N4-26B'!E12</f>
        <v>01967-1130214</v>
      </c>
      <c r="G284" s="2" t="n">
        <f aca="false">'N4-26B'!F12</f>
        <v>0</v>
      </c>
      <c r="H284" s="2" t="str">
        <f aca="false">IFERROR(INDEX(ATT_DATA!$D$2:$D$231,MATCH($B284&amp;"||"&amp;$D284,ATT_DATA!$G$2:$G$231,0)),"")</f>
        <v/>
      </c>
      <c r="I284" s="2" t="str">
        <f aca="false">IFERROR(INDEX(ATT_DATA!$E$2:$E$231,MATCH($B284&amp;"||"&amp;$D284,ATT_DATA!$G$2:$G$231,0)),"")</f>
        <v/>
      </c>
      <c r="J284" s="2" t="str">
        <f aca="false">IFERROR(INDEX(ATT_DATA!$F$2:$F$231,MATCH($B284&amp;"||"&amp;$D284,ATT_DATA!$G$2:$G$231,0)),"")</f>
        <v/>
      </c>
      <c r="K284" s="2" t="str">
        <f aca="false">IF(OR(H284="",ISNUMBER(H284)=FALSE()),"",H284+I284+J284)</f>
        <v/>
      </c>
      <c r="L284" s="3" t="str">
        <f aca="false">IFERROR(H284/K284,"")</f>
        <v/>
      </c>
    </row>
    <row r="285" customFormat="false" ht="15" hidden="false" customHeight="false" outlineLevel="0" collapsed="false">
      <c r="A285" s="2" t="n">
        <v>284</v>
      </c>
      <c r="B285" s="2" t="s">
        <v>35</v>
      </c>
      <c r="C285" s="2" t="s">
        <v>25</v>
      </c>
      <c r="D285" s="2" t="n">
        <f aca="false">'N4-26B'!D13</f>
        <v>26290</v>
      </c>
      <c r="E285" s="2" t="str">
        <f aca="false">'N4-26B'!B13</f>
        <v>RIFAT SIKDER</v>
      </c>
      <c r="F285" s="2" t="str">
        <f aca="false">'N4-26B'!E13</f>
        <v>01811-489631</v>
      </c>
      <c r="G285" s="2" t="str">
        <f aca="false">'N4-26B'!F13</f>
        <v>01745-669096</v>
      </c>
      <c r="H285" s="2" t="n">
        <f aca="false">IFERROR(INDEX(ATT_DATA!$D$2:$D$231,MATCH($B285&amp;"||"&amp;$D285,ATT_DATA!$G$2:$G$231,0)),"")</f>
        <v>18</v>
      </c>
      <c r="I285" s="2" t="n">
        <f aca="false">IFERROR(INDEX(ATT_DATA!$E$2:$E$231,MATCH($B285&amp;"||"&amp;$D285,ATT_DATA!$G$2:$G$231,0)),"")</f>
        <v>12</v>
      </c>
      <c r="J285" s="2" t="n">
        <f aca="false">IFERROR(INDEX(ATT_DATA!$F$2:$F$231,MATCH($B285&amp;"||"&amp;$D285,ATT_DATA!$G$2:$G$231,0)),"")</f>
        <v>1</v>
      </c>
      <c r="K285" s="2" t="n">
        <f aca="false">IF(OR(H285="",ISNUMBER(H285)=FALSE()),"",H285+I285+J285)</f>
        <v>31</v>
      </c>
      <c r="L285" s="3" t="n">
        <f aca="false">IFERROR(H285/K285,"")</f>
        <v>0.580645161290323</v>
      </c>
    </row>
    <row r="286" customFormat="false" ht="15" hidden="false" customHeight="false" outlineLevel="0" collapsed="false">
      <c r="A286" s="2" t="n">
        <v>285</v>
      </c>
      <c r="B286" s="2" t="s">
        <v>35</v>
      </c>
      <c r="C286" s="2" t="s">
        <v>25</v>
      </c>
      <c r="D286" s="2" t="n">
        <f aca="false">'N4-26B'!D14</f>
        <v>25110</v>
      </c>
      <c r="E286" s="2" t="str">
        <f aca="false">'N4-26B'!B14</f>
        <v>JARIN MONI</v>
      </c>
      <c r="F286" s="2" t="str">
        <f aca="false">'N4-26B'!E14</f>
        <v>01792-480988</v>
      </c>
      <c r="G286" s="2" t="n">
        <f aca="false">'N4-26B'!F14</f>
        <v>0</v>
      </c>
      <c r="H286" s="2" t="n">
        <f aca="false">IFERROR(INDEX(ATT_DATA!$D$2:$D$231,MATCH($B286&amp;"||"&amp;$D286,ATT_DATA!$G$2:$G$231,0)),"")</f>
        <v>16</v>
      </c>
      <c r="I286" s="2" t="n">
        <f aca="false">IFERROR(INDEX(ATT_DATA!$E$2:$E$231,MATCH($B286&amp;"||"&amp;$D286,ATT_DATA!$G$2:$G$231,0)),"")</f>
        <v>10</v>
      </c>
      <c r="J286" s="2" t="n">
        <f aca="false">IFERROR(INDEX(ATT_DATA!$F$2:$F$231,MATCH($B286&amp;"||"&amp;$D286,ATT_DATA!$G$2:$G$231,0)),"")</f>
        <v>1</v>
      </c>
      <c r="K286" s="2" t="n">
        <f aca="false">IF(OR(H286="",ISNUMBER(H286)=FALSE()),"",H286+I286+J286)</f>
        <v>27</v>
      </c>
      <c r="L286" s="3" t="n">
        <f aca="false">IFERROR(H286/K286,"")</f>
        <v>0.592592592592593</v>
      </c>
    </row>
    <row r="287" customFormat="false" ht="15" hidden="false" customHeight="false" outlineLevel="0" collapsed="false">
      <c r="A287" s="2" t="n">
        <v>286</v>
      </c>
      <c r="B287" s="2" t="s">
        <v>35</v>
      </c>
      <c r="C287" s="2" t="s">
        <v>25</v>
      </c>
      <c r="D287" s="2" t="n">
        <f aca="false">'N4-26B'!D15</f>
        <v>173</v>
      </c>
      <c r="E287" s="2" t="str">
        <f aca="false">'N4-26B'!B15</f>
        <v>NIYAZ MORSHED</v>
      </c>
      <c r="F287" s="2" t="str">
        <f aca="false">'N4-26B'!E15</f>
        <v>01816-335423</v>
      </c>
      <c r="G287" s="2" t="n">
        <f aca="false">'N4-26B'!F15</f>
        <v>0</v>
      </c>
      <c r="H287" s="2" t="n">
        <f aca="false">IFERROR(INDEX(ATT_DATA!$D$2:$D$231,MATCH($B287&amp;"||"&amp;$D287,ATT_DATA!$G$2:$G$231,0)),"")</f>
        <v>10</v>
      </c>
      <c r="I287" s="2" t="n">
        <f aca="false">IFERROR(INDEX(ATT_DATA!$E$2:$E$231,MATCH($B287&amp;"||"&amp;$D287,ATT_DATA!$G$2:$G$231,0)),"")</f>
        <v>19</v>
      </c>
      <c r="J287" s="2" t="n">
        <f aca="false">IFERROR(INDEX(ATT_DATA!$F$2:$F$231,MATCH($B287&amp;"||"&amp;$D287,ATT_DATA!$G$2:$G$231,0)),"")</f>
        <v>0</v>
      </c>
      <c r="K287" s="2" t="n">
        <f aca="false">IF(OR(H287="",ISNUMBER(H287)=FALSE()),"",H287+I287+J287)</f>
        <v>29</v>
      </c>
      <c r="L287" s="3" t="n">
        <f aca="false">IFERROR(H287/K287,"")</f>
        <v>0.344827586206897</v>
      </c>
    </row>
    <row r="288" customFormat="false" ht="15" hidden="false" customHeight="false" outlineLevel="0" collapsed="false">
      <c r="A288" s="2" t="n">
        <v>287</v>
      </c>
      <c r="B288" s="2" t="s">
        <v>35</v>
      </c>
      <c r="C288" s="2" t="s">
        <v>25</v>
      </c>
      <c r="D288" s="2" t="n">
        <f aca="false">'N4-26B'!D16</f>
        <v>25193</v>
      </c>
      <c r="E288" s="2" t="str">
        <f aca="false">'N4-26B'!B16</f>
        <v>MD EMON</v>
      </c>
      <c r="F288" s="2" t="str">
        <f aca="false">'N4-26B'!E16</f>
        <v>01818-086458</v>
      </c>
      <c r="G288" s="2" t="str">
        <f aca="false">'N4-26B'!F16</f>
        <v>01621-088691</v>
      </c>
      <c r="H288" s="2" t="str">
        <f aca="false">IFERROR(INDEX(ATT_DATA!$D$2:$D$231,MATCH($B288&amp;"||"&amp;$D288,ATT_DATA!$G$2:$G$231,0)),"")</f>
        <v/>
      </c>
      <c r="I288" s="2" t="str">
        <f aca="false">IFERROR(INDEX(ATT_DATA!$E$2:$E$231,MATCH($B288&amp;"||"&amp;$D288,ATT_DATA!$G$2:$G$231,0)),"")</f>
        <v/>
      </c>
      <c r="J288" s="2" t="str">
        <f aca="false">IFERROR(INDEX(ATT_DATA!$F$2:$F$231,MATCH($B288&amp;"||"&amp;$D288,ATT_DATA!$G$2:$G$231,0)),"")</f>
        <v/>
      </c>
      <c r="K288" s="2" t="str">
        <f aca="false">IF(OR(H288="",ISNUMBER(H288)=FALSE()),"",H288+I288+J288)</f>
        <v/>
      </c>
      <c r="L288" s="3" t="str">
        <f aca="false">IFERROR(H288/K288,"")</f>
        <v/>
      </c>
    </row>
    <row r="289" customFormat="false" ht="15" hidden="false" customHeight="false" outlineLevel="0" collapsed="false">
      <c r="A289" s="2" t="n">
        <v>288</v>
      </c>
      <c r="B289" s="2" t="s">
        <v>36</v>
      </c>
      <c r="C289" s="2" t="s">
        <v>37</v>
      </c>
      <c r="D289" s="2" t="n">
        <f aca="false">'MJLI 16'!C5</f>
        <v>26275</v>
      </c>
      <c r="E289" s="2" t="str">
        <f aca="false">'MJLI 16'!B5</f>
        <v>MD. RUHULLAH SEAM🟣</v>
      </c>
      <c r="F289" s="2" t="str">
        <f aca="false">'MJLI 16'!D5</f>
        <v>01321-576072</v>
      </c>
      <c r="G289" s="2" t="str">
        <f aca="false">'MJLI 16'!E5</f>
        <v>01945-409980</v>
      </c>
      <c r="H289" s="2" t="n">
        <f aca="false">IFERROR(INDEX(ATT_DATA!$D$2:$D$231,MATCH($B289&amp;"||"&amp;$D289,ATT_DATA!$G$2:$G$231,0)),"")</f>
        <v>31</v>
      </c>
      <c r="I289" s="2" t="n">
        <f aca="false">IFERROR(INDEX(ATT_DATA!$E$2:$E$231,MATCH($B289&amp;"||"&amp;$D289,ATT_DATA!$G$2:$G$231,0)),"")</f>
        <v>13</v>
      </c>
      <c r="J289" s="2" t="n">
        <f aca="false">IFERROR(INDEX(ATT_DATA!$F$2:$F$231,MATCH($B289&amp;"||"&amp;$D289,ATT_DATA!$G$2:$G$231,0)),"")</f>
        <v>2</v>
      </c>
      <c r="K289" s="2" t="n">
        <f aca="false">IF(OR(H289="",ISNUMBER(H289)=FALSE()),"",H289+I289+J289)</f>
        <v>46</v>
      </c>
      <c r="L289" s="3" t="n">
        <f aca="false">IFERROR(H289/K289,"")</f>
        <v>0.673913043478261</v>
      </c>
    </row>
    <row r="290" customFormat="false" ht="15" hidden="false" customHeight="false" outlineLevel="0" collapsed="false">
      <c r="A290" s="2" t="n">
        <v>289</v>
      </c>
      <c r="B290" s="2" t="s">
        <v>36</v>
      </c>
      <c r="C290" s="2" t="s">
        <v>37</v>
      </c>
      <c r="D290" s="2" t="n">
        <f aca="false">'MJLI 16'!C6</f>
        <v>26309</v>
      </c>
      <c r="E290" s="2" t="str">
        <f aca="false">'MJLI 16'!B6</f>
        <v> SAMIR HOSSAIN</v>
      </c>
      <c r="F290" s="2" t="str">
        <f aca="false">'MJLI 16'!D6</f>
        <v>01406-454347</v>
      </c>
      <c r="G290" s="2" t="str">
        <f aca="false">'MJLI 16'!E6</f>
        <v>01736-218135</v>
      </c>
      <c r="H290" s="2" t="n">
        <f aca="false">IFERROR(INDEX(ATT_DATA!$D$2:$D$231,MATCH($B290&amp;"||"&amp;$D290,ATT_DATA!$G$2:$G$231,0)),"")</f>
        <v>39</v>
      </c>
      <c r="I290" s="2" t="n">
        <f aca="false">IFERROR(INDEX(ATT_DATA!$E$2:$E$231,MATCH($B290&amp;"||"&amp;$D290,ATT_DATA!$G$2:$G$231,0)),"")</f>
        <v>7</v>
      </c>
      <c r="J290" s="2" t="n">
        <f aca="false">IFERROR(INDEX(ATT_DATA!$F$2:$F$231,MATCH($B290&amp;"||"&amp;$D290,ATT_DATA!$G$2:$G$231,0)),"")</f>
        <v>0</v>
      </c>
      <c r="K290" s="2" t="n">
        <f aca="false">IF(OR(H290="",ISNUMBER(H290)=FALSE()),"",H290+I290+J290)</f>
        <v>46</v>
      </c>
      <c r="L290" s="3" t="n">
        <f aca="false">IFERROR(H290/K290,"")</f>
        <v>0.847826086956522</v>
      </c>
    </row>
    <row r="291" customFormat="false" ht="15" hidden="false" customHeight="false" outlineLevel="0" collapsed="false">
      <c r="A291" s="2" t="n">
        <v>290</v>
      </c>
      <c r="B291" s="2" t="s">
        <v>36</v>
      </c>
      <c r="C291" s="2" t="s">
        <v>37</v>
      </c>
      <c r="D291" s="2" t="n">
        <f aca="false">'MJLI 16'!C7</f>
        <v>26270</v>
      </c>
      <c r="E291" s="2" t="str">
        <f aca="false">'MJLI 16'!B7</f>
        <v>MD ALI AZGOR🟢</v>
      </c>
      <c r="F291" s="2" t="str">
        <f aca="false">'MJLI 16'!D7</f>
        <v>01848-565827</v>
      </c>
      <c r="G291" s="2" t="str">
        <f aca="false">'MJLI 16'!E7</f>
        <v>01676-124400</v>
      </c>
      <c r="H291" s="2" t="n">
        <f aca="false">IFERROR(INDEX(ATT_DATA!$D$2:$D$231,MATCH($B291&amp;"||"&amp;$D291,ATT_DATA!$G$2:$G$231,0)),"")</f>
        <v>42</v>
      </c>
      <c r="I291" s="2" t="n">
        <f aca="false">IFERROR(INDEX(ATT_DATA!$E$2:$E$231,MATCH($B291&amp;"||"&amp;$D291,ATT_DATA!$G$2:$G$231,0)),"")</f>
        <v>4</v>
      </c>
      <c r="J291" s="2" t="n">
        <f aca="false">IFERROR(INDEX(ATT_DATA!$F$2:$F$231,MATCH($B291&amp;"||"&amp;$D291,ATT_DATA!$G$2:$G$231,0)),"")</f>
        <v>0</v>
      </c>
      <c r="K291" s="2" t="n">
        <f aca="false">IF(OR(H291="",ISNUMBER(H291)=FALSE()),"",H291+I291+J291)</f>
        <v>46</v>
      </c>
      <c r="L291" s="3" t="n">
        <f aca="false">IFERROR(H291/K291,"")</f>
        <v>0.91304347826087</v>
      </c>
    </row>
    <row r="292" customFormat="false" ht="15" hidden="false" customHeight="false" outlineLevel="0" collapsed="false">
      <c r="A292" s="2" t="n">
        <v>291</v>
      </c>
      <c r="B292" s="2" t="s">
        <v>36</v>
      </c>
      <c r="C292" s="2" t="s">
        <v>37</v>
      </c>
      <c r="D292" s="2" t="n">
        <f aca="false">'MJLI 16'!C8</f>
        <v>26271</v>
      </c>
      <c r="E292" s="2" t="str">
        <f aca="false">'MJLI 16'!B8</f>
        <v>LUCKYI ISLAM🟡</v>
      </c>
      <c r="F292" s="2" t="str">
        <f aca="false">'MJLI 16'!D8</f>
        <v>01792-181319</v>
      </c>
      <c r="G292" s="2" t="str">
        <f aca="false">'MJLI 16'!E8</f>
        <v>01864-940169</v>
      </c>
      <c r="H292" s="2" t="n">
        <f aca="false">IFERROR(INDEX(ATT_DATA!$D$2:$D$231,MATCH($B292&amp;"||"&amp;$D292,ATT_DATA!$G$2:$G$231,0)),"")</f>
        <v>42</v>
      </c>
      <c r="I292" s="2" t="n">
        <f aca="false">IFERROR(INDEX(ATT_DATA!$E$2:$E$231,MATCH($B292&amp;"||"&amp;$D292,ATT_DATA!$G$2:$G$231,0)),"")</f>
        <v>4</v>
      </c>
      <c r="J292" s="2" t="n">
        <f aca="false">IFERROR(INDEX(ATT_DATA!$F$2:$F$231,MATCH($B292&amp;"||"&amp;$D292,ATT_DATA!$G$2:$G$231,0)),"")</f>
        <v>0</v>
      </c>
      <c r="K292" s="2" t="n">
        <f aca="false">IF(OR(H292="",ISNUMBER(H292)=FALSE()),"",H292+I292+J292)</f>
        <v>46</v>
      </c>
      <c r="L292" s="3" t="n">
        <f aca="false">IFERROR(H292/K292,"")</f>
        <v>0.91304347826087</v>
      </c>
    </row>
    <row r="293" customFormat="false" ht="15" hidden="false" customHeight="false" outlineLevel="0" collapsed="false">
      <c r="A293" s="2" t="n">
        <v>292</v>
      </c>
      <c r="B293" s="2" t="s">
        <v>36</v>
      </c>
      <c r="C293" s="2" t="s">
        <v>37</v>
      </c>
      <c r="D293" s="2" t="n">
        <f aca="false">'MJLI 16'!C9</f>
        <v>26281</v>
      </c>
      <c r="E293" s="2" t="str">
        <f aca="false">'MJLI 16'!B9</f>
        <v>MEHEDI HASSAN🔵</v>
      </c>
      <c r="F293" s="2" t="str">
        <f aca="false">'MJLI 16'!D9</f>
        <v>01630-220771</v>
      </c>
      <c r="G293" s="2" t="str">
        <f aca="false">'MJLI 16'!E9</f>
        <v>01712-551994</v>
      </c>
      <c r="H293" s="2" t="n">
        <f aca="false">IFERROR(INDEX(ATT_DATA!$D$2:$D$231,MATCH($B293&amp;"||"&amp;$D293,ATT_DATA!$G$2:$G$231,0)),"")</f>
        <v>25</v>
      </c>
      <c r="I293" s="2" t="n">
        <f aca="false">IFERROR(INDEX(ATT_DATA!$E$2:$E$231,MATCH($B293&amp;"||"&amp;$D293,ATT_DATA!$G$2:$G$231,0)),"")</f>
        <v>21</v>
      </c>
      <c r="J293" s="2" t="n">
        <f aca="false">IFERROR(INDEX(ATT_DATA!$F$2:$F$231,MATCH($B293&amp;"||"&amp;$D293,ATT_DATA!$G$2:$G$231,0)),"")</f>
        <v>0</v>
      </c>
      <c r="K293" s="2" t="n">
        <f aca="false">IF(OR(H293="",ISNUMBER(H293)=FALSE()),"",H293+I293+J293)</f>
        <v>46</v>
      </c>
      <c r="L293" s="3" t="n">
        <f aca="false">IFERROR(H293/K293,"")</f>
        <v>0.543478260869565</v>
      </c>
    </row>
    <row r="294" customFormat="false" ht="15" hidden="false" customHeight="false" outlineLevel="0" collapsed="false">
      <c r="A294" s="2" t="n">
        <v>293</v>
      </c>
      <c r="B294" s="2" t="s">
        <v>36</v>
      </c>
      <c r="C294" s="2" t="s">
        <v>37</v>
      </c>
      <c r="D294" s="2" t="n">
        <f aca="false">'MJLI 16'!C10</f>
        <v>26282</v>
      </c>
      <c r="E294" s="2" t="str">
        <f aca="false">'MJLI 16'!B10</f>
        <v>TANVEER HOSSAIN ANTOR🔵</v>
      </c>
      <c r="F294" s="2" t="str">
        <f aca="false">'MJLI 16'!D10</f>
        <v>01720-594343</v>
      </c>
      <c r="G294" s="2" t="str">
        <f aca="false">'MJLI 16'!E10</f>
        <v>01733-151484</v>
      </c>
      <c r="H294" s="2" t="n">
        <f aca="false">IFERROR(INDEX(ATT_DATA!$D$2:$D$231,MATCH($B294&amp;"||"&amp;$D294,ATT_DATA!$G$2:$G$231,0)),"")</f>
        <v>21</v>
      </c>
      <c r="I294" s="2" t="n">
        <f aca="false">IFERROR(INDEX(ATT_DATA!$E$2:$E$231,MATCH($B294&amp;"||"&amp;$D294,ATT_DATA!$G$2:$G$231,0)),"")</f>
        <v>25</v>
      </c>
      <c r="J294" s="2" t="n">
        <f aca="false">IFERROR(INDEX(ATT_DATA!$F$2:$F$231,MATCH($B294&amp;"||"&amp;$D294,ATT_DATA!$G$2:$G$231,0)),"")</f>
        <v>0</v>
      </c>
      <c r="K294" s="2" t="n">
        <f aca="false">IF(OR(H294="",ISNUMBER(H294)=FALSE()),"",H294+I294+J294)</f>
        <v>46</v>
      </c>
      <c r="L294" s="3" t="n">
        <f aca="false">IFERROR(H294/K294,"")</f>
        <v>0.456521739130435</v>
      </c>
    </row>
    <row r="295" customFormat="false" ht="15" hidden="false" customHeight="false" outlineLevel="0" collapsed="false">
      <c r="A295" s="2" t="n">
        <v>294</v>
      </c>
      <c r="B295" s="2" t="s">
        <v>36</v>
      </c>
      <c r="C295" s="2" t="s">
        <v>37</v>
      </c>
      <c r="D295" s="2" t="n">
        <f aca="false">'MJLI 16'!C11</f>
        <v>26283</v>
      </c>
      <c r="E295" s="2" t="str">
        <f aca="false">'MJLI 16'!B11</f>
        <v>AHAD HOSSAIN KIRON🔵</v>
      </c>
      <c r="F295" s="2" t="str">
        <f aca="false">'MJLI 16'!D11</f>
        <v>01342-375777</v>
      </c>
      <c r="G295" s="2" t="str">
        <f aca="false">'MJLI 16'!E11</f>
        <v>01733-151484</v>
      </c>
      <c r="H295" s="2" t="n">
        <f aca="false">IFERROR(INDEX(ATT_DATA!$D$2:$D$231,MATCH($B295&amp;"||"&amp;$D295,ATT_DATA!$G$2:$G$231,0)),"")</f>
        <v>20</v>
      </c>
      <c r="I295" s="2" t="n">
        <f aca="false">IFERROR(INDEX(ATT_DATA!$E$2:$E$231,MATCH($B295&amp;"||"&amp;$D295,ATT_DATA!$G$2:$G$231,0)),"")</f>
        <v>26</v>
      </c>
      <c r="J295" s="2" t="n">
        <f aca="false">IFERROR(INDEX(ATT_DATA!$F$2:$F$231,MATCH($B295&amp;"||"&amp;$D295,ATT_DATA!$G$2:$G$231,0)),"")</f>
        <v>0</v>
      </c>
      <c r="K295" s="2" t="n">
        <f aca="false">IF(OR(H295="",ISNUMBER(H295)=FALSE()),"",H295+I295+J295)</f>
        <v>46</v>
      </c>
      <c r="L295" s="3" t="n">
        <f aca="false">IFERROR(H295/K295,"")</f>
        <v>0.434782608695652</v>
      </c>
    </row>
    <row r="296" customFormat="false" ht="15" hidden="false" customHeight="false" outlineLevel="0" collapsed="false">
      <c r="A296" s="2" t="n">
        <v>295</v>
      </c>
      <c r="B296" s="2" t="s">
        <v>36</v>
      </c>
      <c r="C296" s="2" t="s">
        <v>37</v>
      </c>
      <c r="D296" s="2" t="n">
        <f aca="false">'MJLI 16'!C12</f>
        <v>26285</v>
      </c>
      <c r="E296" s="2" t="str">
        <f aca="false">'MJLI 16'!B12</f>
        <v>MD RAKIB VUIYA🟡</v>
      </c>
      <c r="F296" s="2" t="str">
        <f aca="false">'MJLI 16'!D12</f>
        <v>01744-217276</v>
      </c>
      <c r="G296" s="2" t="n">
        <f aca="false">'MJLI 16'!E12</f>
        <v>0</v>
      </c>
      <c r="H296" s="2" t="n">
        <f aca="false">IFERROR(INDEX(ATT_DATA!$D$2:$D$231,MATCH($B296&amp;"||"&amp;$D296,ATT_DATA!$G$2:$G$231,0)),"")</f>
        <v>33</v>
      </c>
      <c r="I296" s="2" t="n">
        <f aca="false">IFERROR(INDEX(ATT_DATA!$E$2:$E$231,MATCH($B296&amp;"||"&amp;$D296,ATT_DATA!$G$2:$G$231,0)),"")</f>
        <v>13</v>
      </c>
      <c r="J296" s="2" t="n">
        <f aca="false">IFERROR(INDEX(ATT_DATA!$F$2:$F$231,MATCH($B296&amp;"||"&amp;$D296,ATT_DATA!$G$2:$G$231,0)),"")</f>
        <v>0</v>
      </c>
      <c r="K296" s="2" t="n">
        <f aca="false">IF(OR(H296="",ISNUMBER(H296)=FALSE()),"",H296+I296+J296)</f>
        <v>46</v>
      </c>
      <c r="L296" s="3" t="n">
        <f aca="false">IFERROR(H296/K296,"")</f>
        <v>0.717391304347826</v>
      </c>
    </row>
    <row r="297" customFormat="false" ht="15" hidden="false" customHeight="false" outlineLevel="0" collapsed="false">
      <c r="A297" s="2" t="n">
        <v>296</v>
      </c>
      <c r="B297" s="2" t="s">
        <v>36</v>
      </c>
      <c r="C297" s="2" t="s">
        <v>37</v>
      </c>
      <c r="D297" s="2" t="n">
        <f aca="false">'MJLI 16'!C13</f>
        <v>26292</v>
      </c>
      <c r="E297" s="2" t="str">
        <f aca="false">'MJLI 16'!B13</f>
        <v>PIPASHA ROY🟡</v>
      </c>
      <c r="F297" s="2" t="str">
        <f aca="false">'MJLI 16'!D13</f>
        <v>01910-101993</v>
      </c>
      <c r="G297" s="2" t="str">
        <f aca="false">'MJLI 16'!E13</f>
        <v>01816-712289</v>
      </c>
      <c r="H297" s="2" t="n">
        <f aca="false">IFERROR(INDEX(ATT_DATA!$D$2:$D$231,MATCH($B297&amp;"||"&amp;$D297,ATT_DATA!$G$2:$G$231,0)),"")</f>
        <v>35</v>
      </c>
      <c r="I297" s="2" t="n">
        <f aca="false">IFERROR(INDEX(ATT_DATA!$E$2:$E$231,MATCH($B297&amp;"||"&amp;$D297,ATT_DATA!$G$2:$G$231,0)),"")</f>
        <v>10</v>
      </c>
      <c r="J297" s="2" t="n">
        <f aca="false">IFERROR(INDEX(ATT_DATA!$F$2:$F$231,MATCH($B297&amp;"||"&amp;$D297,ATT_DATA!$G$2:$G$231,0)),"")</f>
        <v>1</v>
      </c>
      <c r="K297" s="2" t="n">
        <f aca="false">IF(OR(H297="",ISNUMBER(H297)=FALSE()),"",H297+I297+J297)</f>
        <v>46</v>
      </c>
      <c r="L297" s="3" t="n">
        <f aca="false">IFERROR(H297/K297,"")</f>
        <v>0.760869565217391</v>
      </c>
    </row>
    <row r="298" customFormat="false" ht="15" hidden="false" customHeight="false" outlineLevel="0" collapsed="false">
      <c r="A298" s="2" t="n">
        <v>297</v>
      </c>
      <c r="B298" s="2" t="s">
        <v>36</v>
      </c>
      <c r="C298" s="2" t="s">
        <v>37</v>
      </c>
      <c r="D298" s="2" t="n">
        <f aca="false">'MJLI 16'!C14</f>
        <v>26289</v>
      </c>
      <c r="E298" s="2" t="str">
        <f aca="false">'MJLI 16'!B14</f>
        <v> MOHAMMAD NAIM🟣</v>
      </c>
      <c r="F298" s="2" t="str">
        <f aca="false">'MJLI 16'!D14</f>
        <v>01986-421576</v>
      </c>
      <c r="G298" s="2" t="str">
        <f aca="false">'MJLI 16'!E14</f>
        <v>01646-814758</v>
      </c>
      <c r="H298" s="2" t="n">
        <f aca="false">IFERROR(INDEX(ATT_DATA!$D$2:$D$231,MATCH($B298&amp;"||"&amp;$D298,ATT_DATA!$G$2:$G$231,0)),"")</f>
        <v>43</v>
      </c>
      <c r="I298" s="2" t="n">
        <f aca="false">IFERROR(INDEX(ATT_DATA!$E$2:$E$231,MATCH($B298&amp;"||"&amp;$D298,ATT_DATA!$G$2:$G$231,0)),"")</f>
        <v>2</v>
      </c>
      <c r="J298" s="2" t="n">
        <f aca="false">IFERROR(INDEX(ATT_DATA!$F$2:$F$231,MATCH($B298&amp;"||"&amp;$D298,ATT_DATA!$G$2:$G$231,0)),"")</f>
        <v>1</v>
      </c>
      <c r="K298" s="2" t="n">
        <f aca="false">IF(OR(H298="",ISNUMBER(H298)=FALSE()),"",H298+I298+J298)</f>
        <v>46</v>
      </c>
      <c r="L298" s="3" t="n">
        <f aca="false">IFERROR(H298/K298,"")</f>
        <v>0.934782608695652</v>
      </c>
    </row>
    <row r="299" customFormat="false" ht="15" hidden="false" customHeight="false" outlineLevel="0" collapsed="false">
      <c r="A299" s="2" t="n">
        <v>298</v>
      </c>
      <c r="B299" s="2" t="s">
        <v>36</v>
      </c>
      <c r="C299" s="2" t="s">
        <v>37</v>
      </c>
      <c r="D299" s="2" t="n">
        <f aca="false">'MJLI 16'!C15</f>
        <v>25126</v>
      </c>
      <c r="E299" s="2" t="str">
        <f aca="false">'MJLI 16'!B15</f>
        <v> AMINUL ISLAM JISAN🟢</v>
      </c>
      <c r="F299" s="2" t="str">
        <f aca="false">'MJLI 16'!D15</f>
        <v>01758-034945</v>
      </c>
      <c r="G299" s="2" t="str">
        <f aca="false">'MJLI 16'!E15</f>
        <v>0171954-0296</v>
      </c>
      <c r="H299" s="2" t="n">
        <f aca="false">IFERROR(INDEX(ATT_DATA!$D$2:$D$231,MATCH($B299&amp;"||"&amp;$D299,ATT_DATA!$G$2:$G$231,0)),"")</f>
        <v>16</v>
      </c>
      <c r="I299" s="2" t="n">
        <f aca="false">IFERROR(INDEX(ATT_DATA!$E$2:$E$231,MATCH($B299&amp;"||"&amp;$D299,ATT_DATA!$G$2:$G$231,0)),"")</f>
        <v>15</v>
      </c>
      <c r="J299" s="2" t="n">
        <f aca="false">IFERROR(INDEX(ATT_DATA!$F$2:$F$231,MATCH($B299&amp;"||"&amp;$D299,ATT_DATA!$G$2:$G$231,0)),"")</f>
        <v>0</v>
      </c>
      <c r="K299" s="2" t="n">
        <f aca="false">IF(OR(H299="",ISNUMBER(H299)=FALSE()),"",H299+I299+J299)</f>
        <v>31</v>
      </c>
      <c r="L299" s="3" t="n">
        <f aca="false">IFERROR(H299/K299,"")</f>
        <v>0.516129032258065</v>
      </c>
    </row>
    <row r="300" customFormat="false" ht="15" hidden="false" customHeight="false" outlineLevel="0" collapsed="false">
      <c r="A300" s="2" t="n">
        <v>299</v>
      </c>
      <c r="B300" s="2" t="s">
        <v>36</v>
      </c>
      <c r="C300" s="2" t="s">
        <v>37</v>
      </c>
      <c r="D300" s="2" t="n">
        <f aca="false">'MJLI 16'!C16</f>
        <v>26284</v>
      </c>
      <c r="E300" s="2" t="str">
        <f aca="false">'MJLI 16'!B16</f>
        <v>MOHAMMAD AKASH🟢</v>
      </c>
      <c r="F300" s="2" t="str">
        <f aca="false">'MJLI 16'!D16</f>
        <v>01778-265174</v>
      </c>
      <c r="G300" s="2" t="str">
        <f aca="false">'MJLI 16'!E16</f>
        <v>01728-350070</v>
      </c>
      <c r="H300" s="2" t="n">
        <f aca="false">IFERROR(INDEX(ATT_DATA!$D$2:$D$231,MATCH($B300&amp;"||"&amp;$D300,ATT_DATA!$G$2:$G$231,0)),"")</f>
        <v>26</v>
      </c>
      <c r="I300" s="2" t="n">
        <f aca="false">IFERROR(INDEX(ATT_DATA!$E$2:$E$231,MATCH($B300&amp;"||"&amp;$D300,ATT_DATA!$G$2:$G$231,0)),"")</f>
        <v>19</v>
      </c>
      <c r="J300" s="2" t="n">
        <f aca="false">IFERROR(INDEX(ATT_DATA!$F$2:$F$231,MATCH($B300&amp;"||"&amp;$D300,ATT_DATA!$G$2:$G$231,0)),"")</f>
        <v>1</v>
      </c>
      <c r="K300" s="2" t="n">
        <f aca="false">IF(OR(H300="",ISNUMBER(H300)=FALSE()),"",H300+I300+J300)</f>
        <v>46</v>
      </c>
      <c r="L300" s="3" t="n">
        <f aca="false">IFERROR(H300/K300,"")</f>
        <v>0.565217391304348</v>
      </c>
    </row>
    <row r="301" customFormat="false" ht="15" hidden="false" customHeight="false" outlineLevel="0" collapsed="false">
      <c r="A301" s="2" t="n">
        <v>300</v>
      </c>
      <c r="B301" s="2" t="s">
        <v>36</v>
      </c>
      <c r="C301" s="2" t="s">
        <v>37</v>
      </c>
      <c r="D301" s="2" t="n">
        <f aca="false">'MJLI 16'!C17</f>
        <v>26314</v>
      </c>
      <c r="E301" s="2" t="str">
        <f aca="false">'MJLI 16'!B17</f>
        <v>MD SELIM UDDIN🟢</v>
      </c>
      <c r="F301" s="2" t="str">
        <f aca="false">'MJLI 16'!D17</f>
        <v>01796-409850</v>
      </c>
      <c r="G301" s="2" t="str">
        <f aca="false">'MJLI 16'!E17</f>
        <v>01968-141906</v>
      </c>
      <c r="H301" s="2" t="n">
        <f aca="false">IFERROR(INDEX(ATT_DATA!$D$2:$D$231,MATCH($B301&amp;"||"&amp;$D301,ATT_DATA!$G$2:$G$231,0)),"")</f>
        <v>28</v>
      </c>
      <c r="I301" s="2" t="n">
        <f aca="false">IFERROR(INDEX(ATT_DATA!$E$2:$E$231,MATCH($B301&amp;"||"&amp;$D301,ATT_DATA!$G$2:$G$231,0)),"")</f>
        <v>5</v>
      </c>
      <c r="J301" s="2" t="n">
        <f aca="false">IFERROR(INDEX(ATT_DATA!$F$2:$F$231,MATCH($B301&amp;"||"&amp;$D301,ATT_DATA!$G$2:$G$231,0)),"")</f>
        <v>0</v>
      </c>
      <c r="K301" s="2" t="n">
        <f aca="false">IF(OR(H301="",ISNUMBER(H301)=FALSE()),"",H301+I301+J301)</f>
        <v>33</v>
      </c>
      <c r="L301" s="3" t="n">
        <f aca="false">IFERROR(H301/K301,"")</f>
        <v>0.848484848484849</v>
      </c>
    </row>
    <row r="302" customFormat="false" ht="15" hidden="false" customHeight="false" outlineLevel="0" collapsed="false">
      <c r="A302" s="2" t="n">
        <v>301</v>
      </c>
      <c r="B302" s="2" t="s">
        <v>38</v>
      </c>
      <c r="C302" s="2" t="s">
        <v>33</v>
      </c>
      <c r="D302" s="2" t="n">
        <f aca="false">'MJLI 17'!C5</f>
        <v>26288</v>
      </c>
      <c r="E302" s="2" t="str">
        <f aca="false">'MJLI 17'!B5</f>
        <v>SAIFUL ISLAM🟣</v>
      </c>
      <c r="F302" s="2" t="str">
        <f aca="false">'MJLI 17'!D5</f>
        <v>01864-771046</v>
      </c>
      <c r="G302" s="2" t="str">
        <f aca="false">'MJLI 17'!E5</f>
        <v>01703-797085</v>
      </c>
      <c r="H302" s="2" t="n">
        <f aca="false">IFERROR(INDEX(ATT_DATA!$D$2:$D$231,MATCH($B302&amp;"||"&amp;$D302,ATT_DATA!$G$2:$G$231,0)),"")</f>
        <v>35</v>
      </c>
      <c r="I302" s="2" t="n">
        <f aca="false">IFERROR(INDEX(ATT_DATA!$E$2:$E$231,MATCH($B302&amp;"||"&amp;$D302,ATT_DATA!$G$2:$G$231,0)),"")</f>
        <v>2</v>
      </c>
      <c r="J302" s="2" t="n">
        <f aca="false">IFERROR(INDEX(ATT_DATA!$F$2:$F$231,MATCH($B302&amp;"||"&amp;$D302,ATT_DATA!$G$2:$G$231,0)),"")</f>
        <v>3</v>
      </c>
      <c r="K302" s="2" t="n">
        <f aca="false">IF(OR(H302="",ISNUMBER(H302)=FALSE()),"",H302+I302+J302)</f>
        <v>40</v>
      </c>
      <c r="L302" s="3" t="n">
        <f aca="false">IFERROR(H302/K302,"")</f>
        <v>0.875</v>
      </c>
    </row>
    <row r="303" customFormat="false" ht="15" hidden="false" customHeight="false" outlineLevel="0" collapsed="false">
      <c r="A303" s="2" t="n">
        <v>302</v>
      </c>
      <c r="B303" s="2" t="s">
        <v>38</v>
      </c>
      <c r="C303" s="2" t="s">
        <v>33</v>
      </c>
      <c r="D303" s="2" t="n">
        <f aca="false">'MJLI 17'!C6</f>
        <v>26287</v>
      </c>
      <c r="E303" s="2" t="str">
        <f aca="false">'MJLI 17'!B6</f>
        <v>MD HRIDOY HOSSAIN🟣</v>
      </c>
      <c r="F303" s="2" t="str">
        <f aca="false">'MJLI 17'!D6</f>
        <v>01615-779109</v>
      </c>
      <c r="G303" s="2" t="str">
        <f aca="false">'MJLI 17'!E6</f>
        <v>01703-797085</v>
      </c>
      <c r="H303" s="2" t="n">
        <f aca="false">IFERROR(INDEX(ATT_DATA!$D$2:$D$231,MATCH($B303&amp;"||"&amp;$D303,ATT_DATA!$G$2:$G$231,0)),"")</f>
        <v>37</v>
      </c>
      <c r="I303" s="2" t="n">
        <f aca="false">IFERROR(INDEX(ATT_DATA!$E$2:$E$231,MATCH($B303&amp;"||"&amp;$D303,ATT_DATA!$G$2:$G$231,0)),"")</f>
        <v>3</v>
      </c>
      <c r="J303" s="2" t="n">
        <f aca="false">IFERROR(INDEX(ATT_DATA!$F$2:$F$231,MATCH($B303&amp;"||"&amp;$D303,ATT_DATA!$G$2:$G$231,0)),"")</f>
        <v>0</v>
      </c>
      <c r="K303" s="2" t="n">
        <f aca="false">IF(OR(H303="",ISNUMBER(H303)=FALSE()),"",H303+I303+J303)</f>
        <v>40</v>
      </c>
      <c r="L303" s="3" t="n">
        <f aca="false">IFERROR(H303/K303,"")</f>
        <v>0.925</v>
      </c>
    </row>
    <row r="304" customFormat="false" ht="15" hidden="false" customHeight="false" outlineLevel="0" collapsed="false">
      <c r="A304" s="2" t="n">
        <v>303</v>
      </c>
      <c r="B304" s="2" t="s">
        <v>38</v>
      </c>
      <c r="C304" s="2" t="s">
        <v>33</v>
      </c>
      <c r="D304" s="2" t="n">
        <f aca="false">'MJLI 17'!C7</f>
        <v>25210</v>
      </c>
      <c r="E304" s="2" t="str">
        <f aca="false">'MJLI 17'!B7</f>
        <v>RUBAYA SULTANA RUMANA</v>
      </c>
      <c r="F304" s="2" t="str">
        <f aca="false">'MJLI 17'!D7</f>
        <v>01760-877543</v>
      </c>
      <c r="G304" s="2" t="str">
        <f aca="false">'MJLI 17'!E7</f>
        <v>01733-716077</v>
      </c>
      <c r="H304" s="2" t="str">
        <f aca="false">IFERROR(INDEX(ATT_DATA!$D$2:$D$231,MATCH($B304&amp;"||"&amp;$D304,ATT_DATA!$G$2:$G$231,0)),"")</f>
        <v/>
      </c>
      <c r="I304" s="2" t="str">
        <f aca="false">IFERROR(INDEX(ATT_DATA!$E$2:$E$231,MATCH($B304&amp;"||"&amp;$D304,ATT_DATA!$G$2:$G$231,0)),"")</f>
        <v/>
      </c>
      <c r="J304" s="2" t="str">
        <f aca="false">IFERROR(INDEX(ATT_DATA!$F$2:$F$231,MATCH($B304&amp;"||"&amp;$D304,ATT_DATA!$G$2:$G$231,0)),"")</f>
        <v/>
      </c>
      <c r="K304" s="2" t="str">
        <f aca="false">IF(OR(H304="",ISNUMBER(H304)=FALSE()),"",H304+I304+J304)</f>
        <v/>
      </c>
      <c r="L304" s="3" t="str">
        <f aca="false">IFERROR(H304/K304,"")</f>
        <v/>
      </c>
    </row>
    <row r="305" customFormat="false" ht="15" hidden="false" customHeight="false" outlineLevel="0" collapsed="false">
      <c r="A305" s="2" t="n">
        <v>304</v>
      </c>
      <c r="B305" s="2" t="s">
        <v>38</v>
      </c>
      <c r="C305" s="2" t="s">
        <v>33</v>
      </c>
      <c r="D305" s="2" t="n">
        <f aca="false">'MJLI 17'!C8</f>
        <v>26295</v>
      </c>
      <c r="E305" s="2" t="str">
        <f aca="false">'MJLI 17'!B8</f>
        <v>SAMI BIN SAIF ARAF🟢</v>
      </c>
      <c r="F305" s="2" t="str">
        <f aca="false">'MJLI 17'!D8</f>
        <v>01572-918862</v>
      </c>
      <c r="G305" s="2" t="str">
        <f aca="false">'MJLI 17'!E8</f>
        <v>01511-242721</v>
      </c>
      <c r="H305" s="2" t="n">
        <f aca="false">IFERROR(INDEX(ATT_DATA!$D$2:$D$231,MATCH($B305&amp;"||"&amp;$D305,ATT_DATA!$G$2:$G$231,0)),"")</f>
        <v>33</v>
      </c>
      <c r="I305" s="2" t="n">
        <f aca="false">IFERROR(INDEX(ATT_DATA!$E$2:$E$231,MATCH($B305&amp;"||"&amp;$D305,ATT_DATA!$G$2:$G$231,0)),"")</f>
        <v>5</v>
      </c>
      <c r="J305" s="2" t="n">
        <f aca="false">IFERROR(INDEX(ATT_DATA!$F$2:$F$231,MATCH($B305&amp;"||"&amp;$D305,ATT_DATA!$G$2:$G$231,0)),"")</f>
        <v>2</v>
      </c>
      <c r="K305" s="2" t="n">
        <f aca="false">IF(OR(H305="",ISNUMBER(H305)=FALSE()),"",H305+I305+J305)</f>
        <v>40</v>
      </c>
      <c r="L305" s="3" t="n">
        <f aca="false">IFERROR(H305/K305,"")</f>
        <v>0.825</v>
      </c>
    </row>
    <row r="306" customFormat="false" ht="15" hidden="false" customHeight="false" outlineLevel="0" collapsed="false">
      <c r="A306" s="2" t="n">
        <v>305</v>
      </c>
      <c r="B306" s="2" t="s">
        <v>38</v>
      </c>
      <c r="C306" s="2" t="s">
        <v>33</v>
      </c>
      <c r="D306" s="2" t="n">
        <f aca="false">'MJLI 17'!C9</f>
        <v>26298</v>
      </c>
      <c r="E306" s="2" t="str">
        <f aca="false">'MJLI 17'!B9</f>
        <v>MIM KHAN🟡</v>
      </c>
      <c r="F306" s="2" t="str">
        <f aca="false">'MJLI 17'!D9</f>
        <v>01775-848484</v>
      </c>
      <c r="G306" s="2" t="str">
        <f aca="false">'MJLI 17'!E9</f>
        <v>01716-025629</v>
      </c>
      <c r="H306" s="2" t="n">
        <f aca="false">IFERROR(INDEX(ATT_DATA!$D$2:$D$231,MATCH($B306&amp;"||"&amp;$D306,ATT_DATA!$G$2:$G$231,0)),"")</f>
        <v>34</v>
      </c>
      <c r="I306" s="2" t="n">
        <f aca="false">IFERROR(INDEX(ATT_DATA!$E$2:$E$231,MATCH($B306&amp;"||"&amp;$D306,ATT_DATA!$G$2:$G$231,0)),"")</f>
        <v>6</v>
      </c>
      <c r="J306" s="2" t="n">
        <f aca="false">IFERROR(INDEX(ATT_DATA!$F$2:$F$231,MATCH($B306&amp;"||"&amp;$D306,ATT_DATA!$G$2:$G$231,0)),"")</f>
        <v>0</v>
      </c>
      <c r="K306" s="2" t="n">
        <f aca="false">IF(OR(H306="",ISNUMBER(H306)=FALSE()),"",H306+I306+J306)</f>
        <v>40</v>
      </c>
      <c r="L306" s="3" t="n">
        <f aca="false">IFERROR(H306/K306,"")</f>
        <v>0.85</v>
      </c>
    </row>
    <row r="307" customFormat="false" ht="15" hidden="false" customHeight="false" outlineLevel="0" collapsed="false">
      <c r="A307" s="2" t="n">
        <v>306</v>
      </c>
      <c r="B307" s="2" t="s">
        <v>38</v>
      </c>
      <c r="C307" s="2" t="s">
        <v>33</v>
      </c>
      <c r="D307" s="2" t="n">
        <f aca="false">'MJLI 17'!C10</f>
        <v>26253</v>
      </c>
      <c r="E307" s="2" t="str">
        <f aca="false">'MJLI 17'!B10</f>
        <v>ANAS ABDULLAH🟣</v>
      </c>
      <c r="F307" s="2" t="str">
        <f aca="false">'MJLI 17'!D10</f>
        <v>01613-380569</v>
      </c>
      <c r="G307" s="2" t="n">
        <f aca="false">'MJLI 17'!E10</f>
        <v>0</v>
      </c>
      <c r="H307" s="2" t="n">
        <f aca="false">IFERROR(INDEX(ATT_DATA!$D$2:$D$231,MATCH($B307&amp;"||"&amp;$D307,ATT_DATA!$G$2:$G$231,0)),"")</f>
        <v>32</v>
      </c>
      <c r="I307" s="2" t="n">
        <f aca="false">IFERROR(INDEX(ATT_DATA!$E$2:$E$231,MATCH($B307&amp;"||"&amp;$D307,ATT_DATA!$G$2:$G$231,0)),"")</f>
        <v>7</v>
      </c>
      <c r="J307" s="2" t="n">
        <f aca="false">IFERROR(INDEX(ATT_DATA!$F$2:$F$231,MATCH($B307&amp;"||"&amp;$D307,ATT_DATA!$G$2:$G$231,0)),"")</f>
        <v>0</v>
      </c>
      <c r="K307" s="2" t="n">
        <f aca="false">IF(OR(H307="",ISNUMBER(H307)=FALSE()),"",H307+I307+J307)</f>
        <v>39</v>
      </c>
      <c r="L307" s="3" t="n">
        <f aca="false">IFERROR(H307/K307,"")</f>
        <v>0.820512820512821</v>
      </c>
    </row>
    <row r="308" customFormat="false" ht="15" hidden="false" customHeight="false" outlineLevel="0" collapsed="false">
      <c r="A308" s="2" t="n">
        <v>307</v>
      </c>
      <c r="B308" s="2" t="s">
        <v>38</v>
      </c>
      <c r="C308" s="2" t="s">
        <v>33</v>
      </c>
      <c r="D308" s="2" t="n">
        <f aca="false">'MJLI 17'!C11</f>
        <v>26312</v>
      </c>
      <c r="E308" s="2" t="str">
        <f aca="false">'MJLI 17'!B11</f>
        <v>PARVEZ AHAMMAD TOPU🟢</v>
      </c>
      <c r="F308" s="2" t="str">
        <f aca="false">'MJLI 17'!D11</f>
        <v>01945-757129</v>
      </c>
      <c r="G308" s="2" t="str">
        <f aca="false">'MJLI 17'!E11</f>
        <v>01711-303651</v>
      </c>
      <c r="H308" s="2" t="n">
        <f aca="false">IFERROR(INDEX(ATT_DATA!$D$2:$D$231,MATCH($B308&amp;"||"&amp;$D308,ATT_DATA!$G$2:$G$231,0)),"")</f>
        <v>35</v>
      </c>
      <c r="I308" s="2" t="n">
        <f aca="false">IFERROR(INDEX(ATT_DATA!$E$2:$E$231,MATCH($B308&amp;"||"&amp;$D308,ATT_DATA!$G$2:$G$231,0)),"")</f>
        <v>3</v>
      </c>
      <c r="J308" s="2" t="n">
        <f aca="false">IFERROR(INDEX(ATT_DATA!$F$2:$F$231,MATCH($B308&amp;"||"&amp;$D308,ATT_DATA!$G$2:$G$231,0)),"")</f>
        <v>2</v>
      </c>
      <c r="K308" s="2" t="n">
        <f aca="false">IF(OR(H308="",ISNUMBER(H308)=FALSE()),"",H308+I308+J308)</f>
        <v>40</v>
      </c>
      <c r="L308" s="3" t="n">
        <f aca="false">IFERROR(H308/K308,"")</f>
        <v>0.875</v>
      </c>
    </row>
    <row r="309" customFormat="false" ht="15" hidden="false" customHeight="false" outlineLevel="0" collapsed="false">
      <c r="A309" s="2" t="n">
        <v>308</v>
      </c>
      <c r="B309" s="2" t="s">
        <v>38</v>
      </c>
      <c r="C309" s="2" t="s">
        <v>33</v>
      </c>
      <c r="D309" s="2" t="n">
        <f aca="false">'MJLI 17'!C12</f>
        <v>26300</v>
      </c>
      <c r="E309" s="2" t="str">
        <f aca="false">'MJLI 17'!B12</f>
        <v>ARSHAD KHAN🔵</v>
      </c>
      <c r="F309" s="2" t="str">
        <f aca="false">'MJLI 17'!D12</f>
        <v>01627-319047</v>
      </c>
      <c r="G309" s="2" t="str">
        <f aca="false">'MJLI 17'!E12</f>
        <v>01741-224222</v>
      </c>
      <c r="H309" s="2" t="n">
        <f aca="false">IFERROR(INDEX(ATT_DATA!$D$2:$D$231,MATCH($B309&amp;"||"&amp;$D309,ATT_DATA!$G$2:$G$231,0)),"")</f>
        <v>16</v>
      </c>
      <c r="I309" s="2" t="n">
        <f aca="false">IFERROR(INDEX(ATT_DATA!$E$2:$E$231,MATCH($B309&amp;"||"&amp;$D309,ATT_DATA!$G$2:$G$231,0)),"")</f>
        <v>23</v>
      </c>
      <c r="J309" s="2" t="n">
        <f aca="false">IFERROR(INDEX(ATT_DATA!$F$2:$F$231,MATCH($B309&amp;"||"&amp;$D309,ATT_DATA!$G$2:$G$231,0)),"")</f>
        <v>1</v>
      </c>
      <c r="K309" s="2" t="n">
        <f aca="false">IF(OR(H309="",ISNUMBER(H309)=FALSE()),"",H309+I309+J309)</f>
        <v>40</v>
      </c>
      <c r="L309" s="3" t="n">
        <f aca="false">IFERROR(H309/K309,"")</f>
        <v>0.4</v>
      </c>
    </row>
    <row r="310" customFormat="false" ht="15" hidden="false" customHeight="false" outlineLevel="0" collapsed="false">
      <c r="A310" s="2" t="n">
        <v>309</v>
      </c>
      <c r="B310" s="2" t="s">
        <v>38</v>
      </c>
      <c r="C310" s="2" t="s">
        <v>33</v>
      </c>
      <c r="D310" s="2" t="n">
        <f aca="false">'MJLI 17'!C13</f>
        <v>26299</v>
      </c>
      <c r="E310" s="2" t="str">
        <f aca="false">'MJLI 17'!B13</f>
        <v>RASEL HALDER🟢</v>
      </c>
      <c r="F310" s="2" t="str">
        <f aca="false">'MJLI 17'!D13</f>
        <v>01865-054738</v>
      </c>
      <c r="G310" s="2" t="str">
        <f aca="false">'MJLI 17'!E13</f>
        <v>01865-054738</v>
      </c>
      <c r="H310" s="2" t="n">
        <f aca="false">IFERROR(INDEX(ATT_DATA!$D$2:$D$231,MATCH($B310&amp;"||"&amp;$D310,ATT_DATA!$G$2:$G$231,0)),"")</f>
        <v>32</v>
      </c>
      <c r="I310" s="2" t="n">
        <f aca="false">IFERROR(INDEX(ATT_DATA!$E$2:$E$231,MATCH($B310&amp;"||"&amp;$D310,ATT_DATA!$G$2:$G$231,0)),"")</f>
        <v>5</v>
      </c>
      <c r="J310" s="2" t="n">
        <f aca="false">IFERROR(INDEX(ATT_DATA!$F$2:$F$231,MATCH($B310&amp;"||"&amp;$D310,ATT_DATA!$G$2:$G$231,0)),"")</f>
        <v>3</v>
      </c>
      <c r="K310" s="2" t="n">
        <f aca="false">IF(OR(H310="",ISNUMBER(H310)=FALSE()),"",H310+I310+J310)</f>
        <v>40</v>
      </c>
      <c r="L310" s="3" t="n">
        <f aca="false">IFERROR(H310/K310,"")</f>
        <v>0.8</v>
      </c>
    </row>
    <row r="311" customFormat="false" ht="15" hidden="false" customHeight="false" outlineLevel="0" collapsed="false">
      <c r="A311" s="2" t="n">
        <v>310</v>
      </c>
      <c r="B311" s="2" t="s">
        <v>38</v>
      </c>
      <c r="C311" s="2" t="s">
        <v>33</v>
      </c>
      <c r="D311" s="2" t="n">
        <f aca="false">'MJLI 17'!C14</f>
        <v>26301</v>
      </c>
      <c r="E311" s="2" t="str">
        <f aca="false">'MJLI 17'!B14</f>
        <v>MD SANJIL AHMED JIHAD🔵</v>
      </c>
      <c r="F311" s="2" t="str">
        <f aca="false">'MJLI 17'!D14</f>
        <v>01943-006678</v>
      </c>
      <c r="G311" s="2" t="str">
        <f aca="false">'MJLI 17'!E14</f>
        <v>01911-626870</v>
      </c>
      <c r="H311" s="2" t="str">
        <f aca="false">IFERROR(INDEX(ATT_DATA!$D$2:$D$231,MATCH($B311&amp;"||"&amp;$D311,ATT_DATA!$G$2:$G$231,0)),"")</f>
        <v/>
      </c>
      <c r="I311" s="2" t="str">
        <f aca="false">IFERROR(INDEX(ATT_DATA!$E$2:$E$231,MATCH($B311&amp;"||"&amp;$D311,ATT_DATA!$G$2:$G$231,0)),"")</f>
        <v/>
      </c>
      <c r="J311" s="2" t="str">
        <f aca="false">IFERROR(INDEX(ATT_DATA!$F$2:$F$231,MATCH($B311&amp;"||"&amp;$D311,ATT_DATA!$G$2:$G$231,0)),"")</f>
        <v/>
      </c>
      <c r="K311" s="2" t="str">
        <f aca="false">IF(OR(H311="",ISNUMBER(H311)=FALSE()),"",H311+I311+J311)</f>
        <v/>
      </c>
      <c r="L311" s="3" t="str">
        <f aca="false">IFERROR(H311/K311,"")</f>
        <v/>
      </c>
    </row>
    <row r="312" customFormat="false" ht="15" hidden="false" customHeight="false" outlineLevel="0" collapsed="false">
      <c r="A312" s="2" t="n">
        <v>311</v>
      </c>
      <c r="B312" s="2" t="s">
        <v>38</v>
      </c>
      <c r="C312" s="2" t="s">
        <v>33</v>
      </c>
      <c r="D312" s="2" t="n">
        <f aca="false">'MJLI 17'!C15</f>
        <v>26304</v>
      </c>
      <c r="E312" s="2" t="str">
        <f aca="false">'MJLI 17'!B15</f>
        <v>ARIFA AKTER🟣</v>
      </c>
      <c r="F312" s="2" t="n">
        <f aca="false">'MJLI 17'!D15</f>
        <v>0</v>
      </c>
      <c r="G312" s="2" t="str">
        <f aca="false">'MJLI 17'!E15</f>
        <v>01772-921810</v>
      </c>
      <c r="H312" s="2" t="n">
        <f aca="false">IFERROR(INDEX(ATT_DATA!$D$2:$D$231,MATCH($B312&amp;"||"&amp;$D312,ATT_DATA!$G$2:$G$231,0)),"")</f>
        <v>37</v>
      </c>
      <c r="I312" s="2" t="n">
        <f aca="false">IFERROR(INDEX(ATT_DATA!$E$2:$E$231,MATCH($B312&amp;"||"&amp;$D312,ATT_DATA!$G$2:$G$231,0)),"")</f>
        <v>3</v>
      </c>
      <c r="J312" s="2" t="n">
        <f aca="false">IFERROR(INDEX(ATT_DATA!$F$2:$F$231,MATCH($B312&amp;"||"&amp;$D312,ATT_DATA!$G$2:$G$231,0)),"")</f>
        <v>0</v>
      </c>
      <c r="K312" s="2" t="n">
        <f aca="false">IF(OR(H312="",ISNUMBER(H312)=FALSE()),"",H312+I312+J312)</f>
        <v>40</v>
      </c>
      <c r="L312" s="3" t="n">
        <f aca="false">IFERROR(H312/K312,"")</f>
        <v>0.925</v>
      </c>
    </row>
    <row r="313" customFormat="false" ht="15" hidden="false" customHeight="false" outlineLevel="0" collapsed="false">
      <c r="A313" s="2" t="n">
        <v>312</v>
      </c>
      <c r="B313" s="2" t="s">
        <v>38</v>
      </c>
      <c r="C313" s="2" t="s">
        <v>33</v>
      </c>
      <c r="D313" s="2" t="n">
        <f aca="false">'MJLI 17'!C16</f>
        <v>26313</v>
      </c>
      <c r="E313" s="2" t="str">
        <f aca="false">'MJLI 17'!B16</f>
        <v>MD ABU SAYEED SAYMON🟢</v>
      </c>
      <c r="F313" s="2" t="str">
        <f aca="false">'MJLI 17'!D16</f>
        <v>01836-134119</v>
      </c>
      <c r="G313" s="2" t="n">
        <f aca="false">'MJLI 17'!E16</f>
        <v>0</v>
      </c>
      <c r="H313" s="2" t="n">
        <f aca="false">IFERROR(INDEX(ATT_DATA!$D$2:$D$231,MATCH($B313&amp;"||"&amp;$D313,ATT_DATA!$G$2:$G$231,0)),"")</f>
        <v>36</v>
      </c>
      <c r="I313" s="2" t="n">
        <f aca="false">IFERROR(INDEX(ATT_DATA!$E$2:$E$231,MATCH($B313&amp;"||"&amp;$D313,ATT_DATA!$G$2:$G$231,0)),"")</f>
        <v>4</v>
      </c>
      <c r="J313" s="2" t="n">
        <f aca="false">IFERROR(INDEX(ATT_DATA!$F$2:$F$231,MATCH($B313&amp;"||"&amp;$D313,ATT_DATA!$G$2:$G$231,0)),"")</f>
        <v>0</v>
      </c>
      <c r="K313" s="2" t="n">
        <f aca="false">IF(OR(H313="",ISNUMBER(H313)=FALSE()),"",H313+I313+J313)</f>
        <v>40</v>
      </c>
      <c r="L313" s="3" t="n">
        <f aca="false">IFERROR(H313/K313,"")</f>
        <v>0.9</v>
      </c>
    </row>
    <row r="314" customFormat="false" ht="15" hidden="false" customHeight="false" outlineLevel="0" collapsed="false">
      <c r="A314" s="2" t="n">
        <v>313</v>
      </c>
      <c r="B314" s="2" t="s">
        <v>38</v>
      </c>
      <c r="C314" s="2" t="s">
        <v>33</v>
      </c>
      <c r="D314" s="2" t="n">
        <f aca="false">'MJLI 17'!C17</f>
        <v>26308</v>
      </c>
      <c r="E314" s="2" t="str">
        <f aca="false">'MJLI 17'!B17</f>
        <v>NAZMUL HASAN MAZUMDER🟢</v>
      </c>
      <c r="F314" s="2" t="str">
        <f aca="false">'MJLI 17'!D17</f>
        <v>01743-028108</v>
      </c>
      <c r="G314" s="2" t="n">
        <f aca="false">'MJLI 17'!E17</f>
        <v>0</v>
      </c>
      <c r="H314" s="2" t="n">
        <f aca="false">IFERROR(INDEX(ATT_DATA!$D$2:$D$231,MATCH($B314&amp;"||"&amp;$D314,ATT_DATA!$G$2:$G$231,0)),"")</f>
        <v>35</v>
      </c>
      <c r="I314" s="2" t="n">
        <f aca="false">IFERROR(INDEX(ATT_DATA!$E$2:$E$231,MATCH($B314&amp;"||"&amp;$D314,ATT_DATA!$G$2:$G$231,0)),"")</f>
        <v>5</v>
      </c>
      <c r="J314" s="2" t="n">
        <f aca="false">IFERROR(INDEX(ATT_DATA!$F$2:$F$231,MATCH($B314&amp;"||"&amp;$D314,ATT_DATA!$G$2:$G$231,0)),"")</f>
        <v>0</v>
      </c>
      <c r="K314" s="2" t="n">
        <f aca="false">IF(OR(H314="",ISNUMBER(H314)=FALSE()),"",H314+I314+J314)</f>
        <v>40</v>
      </c>
      <c r="L314" s="3" t="n">
        <f aca="false">IFERROR(H314/K314,"")</f>
        <v>0.875</v>
      </c>
    </row>
    <row r="315" customFormat="false" ht="15" hidden="false" customHeight="false" outlineLevel="0" collapsed="false">
      <c r="A315" s="2" t="n">
        <v>314</v>
      </c>
      <c r="B315" s="2" t="s">
        <v>38</v>
      </c>
      <c r="C315" s="2" t="s">
        <v>33</v>
      </c>
      <c r="D315" s="2" t="n">
        <f aca="false">'MJLI 17'!C18</f>
        <v>26307</v>
      </c>
      <c r="E315" s="2" t="str">
        <f aca="false">'MJLI 17'!B18</f>
        <v>MOHAMMAD ARAFAT🟢</v>
      </c>
      <c r="F315" s="2" t="str">
        <f aca="false">'MJLI 17'!D18</f>
        <v>01775-537173</v>
      </c>
      <c r="G315" s="2" t="n">
        <f aca="false">'MJLI 17'!E18</f>
        <v>0</v>
      </c>
      <c r="H315" s="2" t="n">
        <f aca="false">IFERROR(INDEX(ATT_DATA!$D$2:$D$231,MATCH($B315&amp;"||"&amp;$D315,ATT_DATA!$G$2:$G$231,0)),"")</f>
        <v>30</v>
      </c>
      <c r="I315" s="2" t="n">
        <f aca="false">IFERROR(INDEX(ATT_DATA!$E$2:$E$231,MATCH($B315&amp;"||"&amp;$D315,ATT_DATA!$G$2:$G$231,0)),"")</f>
        <v>10</v>
      </c>
      <c r="J315" s="2" t="n">
        <f aca="false">IFERROR(INDEX(ATT_DATA!$F$2:$F$231,MATCH($B315&amp;"||"&amp;$D315,ATT_DATA!$G$2:$G$231,0)),"")</f>
        <v>0</v>
      </c>
      <c r="K315" s="2" t="n">
        <f aca="false">IF(OR(H315="",ISNUMBER(H315)=FALSE()),"",H315+I315+J315)</f>
        <v>40</v>
      </c>
      <c r="L315" s="3" t="n">
        <f aca="false">IFERROR(H315/K315,"")</f>
        <v>0.75</v>
      </c>
    </row>
    <row r="316" customFormat="false" ht="15" hidden="false" customHeight="false" outlineLevel="0" collapsed="false">
      <c r="A316" s="2" t="n">
        <v>315</v>
      </c>
      <c r="B316" s="2" t="s">
        <v>38</v>
      </c>
      <c r="C316" s="2" t="s">
        <v>33</v>
      </c>
      <c r="D316" s="2" t="n">
        <f aca="false">'MJLI 17'!C19</f>
        <v>26330</v>
      </c>
      <c r="E316" s="2" t="str">
        <f aca="false">'MJLI 17'!B19</f>
        <v>MD POLASH MIA🟢</v>
      </c>
      <c r="F316" s="2" t="str">
        <f aca="false">'MJLI 17'!D19</f>
        <v>01795-819170</v>
      </c>
      <c r="G316" s="2" t="str">
        <f aca="false">'MJLI 17'!E19</f>
        <v>01301-960655</v>
      </c>
      <c r="H316" s="2" t="n">
        <f aca="false">IFERROR(INDEX(ATT_DATA!$D$2:$D$231,MATCH($B316&amp;"||"&amp;$D316,ATT_DATA!$G$2:$G$231,0)),"")</f>
        <v>26</v>
      </c>
      <c r="I316" s="2" t="n">
        <f aca="false">IFERROR(INDEX(ATT_DATA!$E$2:$E$231,MATCH($B316&amp;"||"&amp;$D316,ATT_DATA!$G$2:$G$231,0)),"")</f>
        <v>4</v>
      </c>
      <c r="J316" s="2" t="n">
        <f aca="false">IFERROR(INDEX(ATT_DATA!$F$2:$F$231,MATCH($B316&amp;"||"&amp;$D316,ATT_DATA!$G$2:$G$231,0)),"")</f>
        <v>0</v>
      </c>
      <c r="K316" s="2" t="n">
        <f aca="false">IF(OR(H316="",ISNUMBER(H316)=FALSE()),"",H316+I316+J316)</f>
        <v>30</v>
      </c>
      <c r="L316" s="3" t="n">
        <f aca="false">IFERROR(H316/K316,"")</f>
        <v>0.866666666666667</v>
      </c>
    </row>
    <row r="317" customFormat="false" ht="15" hidden="false" customHeight="false" outlineLevel="0" collapsed="false">
      <c r="A317" s="2" t="n">
        <v>316</v>
      </c>
      <c r="B317" s="2" t="s">
        <v>38</v>
      </c>
      <c r="C317" s="2" t="s">
        <v>33</v>
      </c>
      <c r="D317" s="2" t="n">
        <f aca="false">'MJLI 17'!C20</f>
        <v>26275</v>
      </c>
      <c r="E317" s="2" t="str">
        <f aca="false">'MJLI 17'!B20</f>
        <v>MD. RUHULLAH SEAM🟣</v>
      </c>
      <c r="F317" s="2" t="str">
        <f aca="false">'MJLI 17'!D20</f>
        <v>01321-576072</v>
      </c>
      <c r="G317" s="2" t="str">
        <f aca="false">'MJLI 17'!E20</f>
        <v>01945-409980</v>
      </c>
      <c r="H317" s="2" t="str">
        <f aca="false">IFERROR(INDEX(ATT_DATA!$D$2:$D$231,MATCH($B317&amp;"||"&amp;$D317,ATT_DATA!$G$2:$G$231,0)),"")</f>
        <v/>
      </c>
      <c r="I317" s="2" t="str">
        <f aca="false">IFERROR(INDEX(ATT_DATA!$E$2:$E$231,MATCH($B317&amp;"||"&amp;$D317,ATT_DATA!$G$2:$G$231,0)),"")</f>
        <v/>
      </c>
      <c r="J317" s="2" t="str">
        <f aca="false">IFERROR(INDEX(ATT_DATA!$F$2:$F$231,MATCH($B317&amp;"||"&amp;$D317,ATT_DATA!$G$2:$G$231,0)),"")</f>
        <v/>
      </c>
      <c r="K317" s="2" t="str">
        <f aca="false">IF(OR(H317="",ISNUMBER(H317)=FALSE()),"",H317+I317+J317)</f>
        <v/>
      </c>
      <c r="L317" s="3" t="str">
        <f aca="false">IFERROR(H317/K317,"")</f>
        <v/>
      </c>
    </row>
    <row r="318" customFormat="false" ht="15" hidden="false" customHeight="false" outlineLevel="0" collapsed="false">
      <c r="A318" s="2" t="n">
        <v>317</v>
      </c>
      <c r="B318" s="2" t="s">
        <v>38</v>
      </c>
      <c r="C318" s="2" t="s">
        <v>33</v>
      </c>
      <c r="D318" s="2" t="n">
        <f aca="false">'MJLI 17'!C21</f>
        <v>26309</v>
      </c>
      <c r="E318" s="2" t="str">
        <f aca="false">'MJLI 17'!B21</f>
        <v> SAMIR HOSSAIN</v>
      </c>
      <c r="F318" s="2" t="str">
        <f aca="false">'MJLI 17'!D21</f>
        <v>01406-454347</v>
      </c>
      <c r="G318" s="2" t="str">
        <f aca="false">'MJLI 17'!E21</f>
        <v>01736-218135</v>
      </c>
      <c r="H318" s="2" t="str">
        <f aca="false">IFERROR(INDEX(ATT_DATA!$D$2:$D$231,MATCH($B318&amp;"||"&amp;$D318,ATT_DATA!$G$2:$G$231,0)),"")</f>
        <v/>
      </c>
      <c r="I318" s="2" t="str">
        <f aca="false">IFERROR(INDEX(ATT_DATA!$E$2:$E$231,MATCH($B318&amp;"||"&amp;$D318,ATT_DATA!$G$2:$G$231,0)),"")</f>
        <v/>
      </c>
      <c r="J318" s="2" t="str">
        <f aca="false">IFERROR(INDEX(ATT_DATA!$F$2:$F$231,MATCH($B318&amp;"||"&amp;$D318,ATT_DATA!$G$2:$G$231,0)),"")</f>
        <v/>
      </c>
      <c r="K318" s="2" t="str">
        <f aca="false">IF(OR(H318="",ISNUMBER(H318)=FALSE()),"",H318+I318+J318)</f>
        <v/>
      </c>
      <c r="L318" s="3" t="str">
        <f aca="false">IFERROR(H318/K318,"")</f>
        <v/>
      </c>
    </row>
    <row r="319" customFormat="false" ht="15" hidden="false" customHeight="false" outlineLevel="0" collapsed="false">
      <c r="A319" s="2" t="n">
        <v>318</v>
      </c>
      <c r="B319" s="2" t="s">
        <v>38</v>
      </c>
      <c r="C319" s="2" t="s">
        <v>33</v>
      </c>
      <c r="D319" s="2" t="n">
        <f aca="false">'MJLI 17'!C22</f>
        <v>26270</v>
      </c>
      <c r="E319" s="2" t="str">
        <f aca="false">'MJLI 17'!B22</f>
        <v>MD ALI AZGOR🟢</v>
      </c>
      <c r="F319" s="2" t="str">
        <f aca="false">'MJLI 17'!D22</f>
        <v>01848-565827</v>
      </c>
      <c r="G319" s="2" t="str">
        <f aca="false">'MJLI 17'!E22</f>
        <v>01676-124400</v>
      </c>
      <c r="H319" s="2" t="str">
        <f aca="false">IFERROR(INDEX(ATT_DATA!$D$2:$D$231,MATCH($B319&amp;"||"&amp;$D319,ATT_DATA!$G$2:$G$231,0)),"")</f>
        <v/>
      </c>
      <c r="I319" s="2" t="str">
        <f aca="false">IFERROR(INDEX(ATT_DATA!$E$2:$E$231,MATCH($B319&amp;"||"&amp;$D319,ATT_DATA!$G$2:$G$231,0)),"")</f>
        <v/>
      </c>
      <c r="J319" s="2" t="str">
        <f aca="false">IFERROR(INDEX(ATT_DATA!$F$2:$F$231,MATCH($B319&amp;"||"&amp;$D319,ATT_DATA!$G$2:$G$231,0)),"")</f>
        <v/>
      </c>
      <c r="K319" s="2" t="str">
        <f aca="false">IF(OR(H319="",ISNUMBER(H319)=FALSE()),"",H319+I319+J319)</f>
        <v/>
      </c>
      <c r="L319" s="3" t="str">
        <f aca="false">IFERROR(H319/K319,"")</f>
        <v/>
      </c>
    </row>
    <row r="320" customFormat="false" ht="15" hidden="false" customHeight="false" outlineLevel="0" collapsed="false">
      <c r="A320" s="2" t="n">
        <v>319</v>
      </c>
      <c r="B320" s="2" t="s">
        <v>38</v>
      </c>
      <c r="C320" s="2" t="s">
        <v>33</v>
      </c>
      <c r="D320" s="2" t="n">
        <f aca="false">'MJLI 17'!C23</f>
        <v>26285</v>
      </c>
      <c r="E320" s="2" t="str">
        <f aca="false">'MJLI 17'!B23</f>
        <v>MD RAKIB VUIYA🟡</v>
      </c>
      <c r="F320" s="2" t="str">
        <f aca="false">'MJLI 17'!D23</f>
        <v>01744-217276</v>
      </c>
      <c r="G320" s="2" t="n">
        <f aca="false">'MJLI 17'!E23</f>
        <v>0</v>
      </c>
      <c r="H320" s="2" t="str">
        <f aca="false">IFERROR(INDEX(ATT_DATA!$D$2:$D$231,MATCH($B320&amp;"||"&amp;$D320,ATT_DATA!$G$2:$G$231,0)),"")</f>
        <v/>
      </c>
      <c r="I320" s="2" t="str">
        <f aca="false">IFERROR(INDEX(ATT_DATA!$E$2:$E$231,MATCH($B320&amp;"||"&amp;$D320,ATT_DATA!$G$2:$G$231,0)),"")</f>
        <v/>
      </c>
      <c r="J320" s="2" t="str">
        <f aca="false">IFERROR(INDEX(ATT_DATA!$F$2:$F$231,MATCH($B320&amp;"||"&amp;$D320,ATT_DATA!$G$2:$G$231,0)),"")</f>
        <v/>
      </c>
      <c r="K320" s="2" t="str">
        <f aca="false">IF(OR(H320="",ISNUMBER(H320)=FALSE()),"",H320+I320+J320)</f>
        <v/>
      </c>
      <c r="L320" s="3" t="str">
        <f aca="false">IFERROR(H320/K320,"")</f>
        <v/>
      </c>
    </row>
    <row r="321" customFormat="false" ht="15" hidden="false" customHeight="false" outlineLevel="0" collapsed="false">
      <c r="A321" s="2" t="n">
        <v>320</v>
      </c>
      <c r="B321" s="2" t="s">
        <v>38</v>
      </c>
      <c r="C321" s="2" t="s">
        <v>33</v>
      </c>
      <c r="D321" s="2" t="n">
        <f aca="false">'MJLI 17'!C24</f>
        <v>25126</v>
      </c>
      <c r="E321" s="2" t="str">
        <f aca="false">'MJLI 17'!B24</f>
        <v> AMINUL ISLAM JISAN🟢</v>
      </c>
      <c r="F321" s="2" t="str">
        <f aca="false">'MJLI 17'!D24</f>
        <v>01758-034945</v>
      </c>
      <c r="G321" s="2" t="str">
        <f aca="false">'MJLI 17'!E24</f>
        <v>0171954-0296</v>
      </c>
      <c r="H321" s="2" t="n">
        <f aca="false">IFERROR(INDEX(ATT_DATA!$D$2:$D$231,MATCH($B321&amp;"||"&amp;$D321,ATT_DATA!$G$2:$G$231,0)),"")</f>
        <v>3</v>
      </c>
      <c r="I321" s="2" t="n">
        <f aca="false">IFERROR(INDEX(ATT_DATA!$E$2:$E$231,MATCH($B321&amp;"||"&amp;$D321,ATT_DATA!$G$2:$G$231,0)),"")</f>
        <v>0</v>
      </c>
      <c r="J321" s="2" t="n">
        <f aca="false">IFERROR(INDEX(ATT_DATA!$F$2:$F$231,MATCH($B321&amp;"||"&amp;$D321,ATT_DATA!$G$2:$G$231,0)),"")</f>
        <v>0</v>
      </c>
      <c r="K321" s="2" t="n">
        <f aca="false">IF(OR(H321="",ISNUMBER(H321)=FALSE()),"",H321+I321+J321)</f>
        <v>3</v>
      </c>
      <c r="L321" s="3" t="n">
        <f aca="false">IFERROR(H321/K321,"")</f>
        <v>1</v>
      </c>
    </row>
    <row r="322" customFormat="false" ht="15" hidden="false" customHeight="false" outlineLevel="0" collapsed="false">
      <c r="A322" s="2" t="n">
        <v>321</v>
      </c>
      <c r="B322" s="2" t="s">
        <v>39</v>
      </c>
      <c r="C322" s="2" t="s">
        <v>33</v>
      </c>
      <c r="D322" s="2" t="n">
        <f aca="false">'MJLI 18'!C5</f>
        <v>26303</v>
      </c>
      <c r="E322" s="2" t="str">
        <f aca="false">'MJLI 18'!B5</f>
        <v>SANJIDA SUMAIYA🟣</v>
      </c>
      <c r="F322" s="2" t="str">
        <f aca="false">'MJLI 18'!D5</f>
        <v>01709-920330</v>
      </c>
      <c r="G322" s="2" t="str">
        <f aca="false">'MJLI 18'!E5</f>
        <v>01711-171807</v>
      </c>
      <c r="H322" s="2" t="n">
        <f aca="false">IFERROR(INDEX(ATT_DATA!$D$2:$D$231,MATCH($B322&amp;"||"&amp;$D322,ATT_DATA!$G$2:$G$231,0)),"")</f>
        <v>32</v>
      </c>
      <c r="I322" s="2" t="n">
        <f aca="false">IFERROR(INDEX(ATT_DATA!$E$2:$E$231,MATCH($B322&amp;"||"&amp;$D322,ATT_DATA!$G$2:$G$231,0)),"")</f>
        <v>1</v>
      </c>
      <c r="J322" s="2" t="n">
        <f aca="false">IFERROR(INDEX(ATT_DATA!$F$2:$F$231,MATCH($B322&amp;"||"&amp;$D322,ATT_DATA!$G$2:$G$231,0)),"")</f>
        <v>0</v>
      </c>
      <c r="K322" s="2" t="n">
        <f aca="false">IF(OR(H322="",ISNUMBER(H322)=FALSE()),"",H322+I322+J322)</f>
        <v>33</v>
      </c>
      <c r="L322" s="3" t="n">
        <f aca="false">IFERROR(H322/K322,"")</f>
        <v>0.96969696969697</v>
      </c>
    </row>
    <row r="323" customFormat="false" ht="15" hidden="false" customHeight="false" outlineLevel="0" collapsed="false">
      <c r="A323" s="2" t="n">
        <v>322</v>
      </c>
      <c r="B323" s="2" t="s">
        <v>39</v>
      </c>
      <c r="C323" s="2" t="s">
        <v>33</v>
      </c>
      <c r="D323" s="2" t="n">
        <f aca="false">'MJLI 18'!C6</f>
        <v>26317</v>
      </c>
      <c r="E323" s="2" t="str">
        <f aca="false">'MJLI 18'!B6</f>
        <v>ZIDAN HOSSAIN🟢</v>
      </c>
      <c r="F323" s="2" t="str">
        <f aca="false">'MJLI 18'!D6</f>
        <v>01924-244874</v>
      </c>
      <c r="G323" s="2" t="str">
        <f aca="false">'MJLI 18'!E6</f>
        <v>01945-299416</v>
      </c>
      <c r="H323" s="2" t="n">
        <f aca="false">IFERROR(INDEX(ATT_DATA!$D$2:$D$231,MATCH($B323&amp;"||"&amp;$D323,ATT_DATA!$G$2:$G$231,0)),"")</f>
        <v>31</v>
      </c>
      <c r="I323" s="2" t="n">
        <f aca="false">IFERROR(INDEX(ATT_DATA!$E$2:$E$231,MATCH($B323&amp;"||"&amp;$D323,ATT_DATA!$G$2:$G$231,0)),"")</f>
        <v>2</v>
      </c>
      <c r="J323" s="2" t="n">
        <f aca="false">IFERROR(INDEX(ATT_DATA!$F$2:$F$231,MATCH($B323&amp;"||"&amp;$D323,ATT_DATA!$G$2:$G$231,0)),"")</f>
        <v>0</v>
      </c>
      <c r="K323" s="2" t="n">
        <f aca="false">IF(OR(H323="",ISNUMBER(H323)=FALSE()),"",H323+I323+J323)</f>
        <v>33</v>
      </c>
      <c r="L323" s="3" t="n">
        <f aca="false">IFERROR(H323/K323,"")</f>
        <v>0.939393939393939</v>
      </c>
    </row>
    <row r="324" customFormat="false" ht="15" hidden="false" customHeight="false" outlineLevel="0" collapsed="false">
      <c r="A324" s="2" t="n">
        <v>323</v>
      </c>
      <c r="B324" s="2" t="s">
        <v>39</v>
      </c>
      <c r="C324" s="2" t="s">
        <v>33</v>
      </c>
      <c r="D324" s="2" t="n">
        <f aca="false">'MJLI 18'!C7</f>
        <v>26285</v>
      </c>
      <c r="E324" s="2" t="str">
        <f aca="false">'MJLI 18'!B7</f>
        <v>ABU BOKKOR ALVI</v>
      </c>
      <c r="F324" s="2" t="str">
        <f aca="false">'MJLI 18'!D7</f>
        <v>01754-977376</v>
      </c>
      <c r="G324" s="2" t="str">
        <f aca="false">'MJLI 18'!E7</f>
        <v>01724-279502</v>
      </c>
      <c r="H324" s="2" t="n">
        <f aca="false">IFERROR(INDEX(ATT_DATA!$D$2:$D$231,MATCH($B324&amp;"||"&amp;$D324,ATT_DATA!$G$2:$G$231,0)),"")</f>
        <v>5</v>
      </c>
      <c r="I324" s="2" t="n">
        <f aca="false">IFERROR(INDEX(ATT_DATA!$E$2:$E$231,MATCH($B324&amp;"||"&amp;$D324,ATT_DATA!$G$2:$G$231,0)),"")</f>
        <v>28</v>
      </c>
      <c r="J324" s="2" t="n">
        <f aca="false">IFERROR(INDEX(ATT_DATA!$F$2:$F$231,MATCH($B324&amp;"||"&amp;$D324,ATT_DATA!$G$2:$G$231,0)),"")</f>
        <v>0</v>
      </c>
      <c r="K324" s="2" t="n">
        <f aca="false">IF(OR(H324="",ISNUMBER(H324)=FALSE()),"",H324+I324+J324)</f>
        <v>33</v>
      </c>
      <c r="L324" s="3" t="n">
        <f aca="false">IFERROR(H324/K324,"")</f>
        <v>0.151515151515152</v>
      </c>
    </row>
    <row r="325" customFormat="false" ht="15" hidden="false" customHeight="false" outlineLevel="0" collapsed="false">
      <c r="A325" s="2" t="n">
        <v>324</v>
      </c>
      <c r="B325" s="2" t="s">
        <v>39</v>
      </c>
      <c r="C325" s="2" t="s">
        <v>33</v>
      </c>
      <c r="D325" s="2" t="n">
        <f aca="false">'MJLI 18'!C8</f>
        <v>0</v>
      </c>
      <c r="E325" s="2" t="str">
        <f aca="false">'MJLI 18'!B8</f>
        <v>MD YEASIN ARAFAT🔵</v>
      </c>
      <c r="F325" s="2" t="str">
        <f aca="false">'MJLI 18'!D8</f>
        <v>01538-329494</v>
      </c>
      <c r="G325" s="2" t="str">
        <f aca="false">'MJLI 18'!E8</f>
        <v>01829-439907</v>
      </c>
      <c r="H325" s="2" t="str">
        <f aca="false">IFERROR(INDEX(ATT_DATA!$D$2:$D$231,MATCH($B325&amp;"||"&amp;$D325,ATT_DATA!$G$2:$G$231,0)),"")</f>
        <v/>
      </c>
      <c r="I325" s="2" t="str">
        <f aca="false">IFERROR(INDEX(ATT_DATA!$E$2:$E$231,MATCH($B325&amp;"||"&amp;$D325,ATT_DATA!$G$2:$G$231,0)),"")</f>
        <v/>
      </c>
      <c r="J325" s="2" t="str">
        <f aca="false">IFERROR(INDEX(ATT_DATA!$F$2:$F$231,MATCH($B325&amp;"||"&amp;$D325,ATT_DATA!$G$2:$G$231,0)),"")</f>
        <v/>
      </c>
      <c r="K325" s="2" t="str">
        <f aca="false">IF(OR(H325="",ISNUMBER(H325)=FALSE()),"",H325+I325+J325)</f>
        <v/>
      </c>
      <c r="L325" s="3" t="str">
        <f aca="false">IFERROR(H325/K325,"")</f>
        <v/>
      </c>
    </row>
    <row r="326" customFormat="false" ht="15" hidden="false" customHeight="false" outlineLevel="0" collapsed="false">
      <c r="A326" s="2" t="n">
        <v>325</v>
      </c>
      <c r="B326" s="2" t="s">
        <v>39</v>
      </c>
      <c r="C326" s="2" t="s">
        <v>33</v>
      </c>
      <c r="D326" s="2" t="n">
        <f aca="false">'MJLI 18'!C9</f>
        <v>26320</v>
      </c>
      <c r="E326" s="2" t="str">
        <f aca="false">'MJLI 18'!B9</f>
        <v>POLOK SARKAR🟣</v>
      </c>
      <c r="F326" s="2" t="str">
        <f aca="false">'MJLI 18'!D9</f>
        <v>01318-617205</v>
      </c>
      <c r="G326" s="2" t="str">
        <f aca="false">'MJLI 18'!E9</f>
        <v>01716-795301</v>
      </c>
      <c r="H326" s="2" t="n">
        <f aca="false">IFERROR(INDEX(ATT_DATA!$D$2:$D$231,MATCH($B326&amp;"||"&amp;$D326,ATT_DATA!$G$2:$G$231,0)),"")</f>
        <v>32</v>
      </c>
      <c r="I326" s="2" t="n">
        <f aca="false">IFERROR(INDEX(ATT_DATA!$E$2:$E$231,MATCH($B326&amp;"||"&amp;$D326,ATT_DATA!$G$2:$G$231,0)),"")</f>
        <v>1</v>
      </c>
      <c r="J326" s="2" t="n">
        <f aca="false">IFERROR(INDEX(ATT_DATA!$F$2:$F$231,MATCH($B326&amp;"||"&amp;$D326,ATT_DATA!$G$2:$G$231,0)),"")</f>
        <v>0</v>
      </c>
      <c r="K326" s="2" t="n">
        <f aca="false">IF(OR(H326="",ISNUMBER(H326)=FALSE()),"",H326+I326+J326)</f>
        <v>33</v>
      </c>
      <c r="L326" s="3" t="n">
        <f aca="false">IFERROR(H326/K326,"")</f>
        <v>0.96969696969697</v>
      </c>
    </row>
    <row r="327" customFormat="false" ht="15" hidden="false" customHeight="false" outlineLevel="0" collapsed="false">
      <c r="A327" s="2" t="n">
        <v>326</v>
      </c>
      <c r="B327" s="2" t="s">
        <v>39</v>
      </c>
      <c r="C327" s="2" t="s">
        <v>33</v>
      </c>
      <c r="D327" s="2" t="n">
        <f aca="false">'MJLI 18'!C10</f>
        <v>26323</v>
      </c>
      <c r="E327" s="2" t="str">
        <f aca="false">'MJLI 18'!B10</f>
        <v>MD MIRAJ HOSSAIN MOJUMDER🟢</v>
      </c>
      <c r="F327" s="2" t="str">
        <f aca="false">'MJLI 18'!D10</f>
        <v>01600-238747</v>
      </c>
      <c r="G327" s="2" t="str">
        <f aca="false">'MJLI 18'!E10</f>
        <v>01811-959583</v>
      </c>
      <c r="H327" s="2" t="n">
        <f aca="false">IFERROR(INDEX(ATT_DATA!$D$2:$D$231,MATCH($B327&amp;"||"&amp;$D327,ATT_DATA!$G$2:$G$231,0)),"")</f>
        <v>27</v>
      </c>
      <c r="I327" s="2" t="n">
        <f aca="false">IFERROR(INDEX(ATT_DATA!$E$2:$E$231,MATCH($B327&amp;"||"&amp;$D327,ATT_DATA!$G$2:$G$231,0)),"")</f>
        <v>1</v>
      </c>
      <c r="J327" s="2" t="n">
        <f aca="false">IFERROR(INDEX(ATT_DATA!$F$2:$F$231,MATCH($B327&amp;"||"&amp;$D327,ATT_DATA!$G$2:$G$231,0)),"")</f>
        <v>5</v>
      </c>
      <c r="K327" s="2" t="n">
        <f aca="false">IF(OR(H327="",ISNUMBER(H327)=FALSE()),"",H327+I327+J327)</f>
        <v>33</v>
      </c>
      <c r="L327" s="3" t="n">
        <f aca="false">IFERROR(H327/K327,"")</f>
        <v>0.818181818181818</v>
      </c>
    </row>
    <row r="328" customFormat="false" ht="15" hidden="false" customHeight="false" outlineLevel="0" collapsed="false">
      <c r="A328" s="2" t="n">
        <v>327</v>
      </c>
      <c r="B328" s="2" t="s">
        <v>39</v>
      </c>
      <c r="C328" s="2" t="s">
        <v>33</v>
      </c>
      <c r="D328" s="2" t="n">
        <f aca="false">'MJLI 18'!C11</f>
        <v>26318</v>
      </c>
      <c r="E328" s="2" t="str">
        <f aca="false">'MJLI 18'!B11</f>
        <v>MAISHA RAHMAN🟢</v>
      </c>
      <c r="F328" s="2" t="str">
        <f aca="false">'MJLI 18'!D11</f>
        <v>01738-186058</v>
      </c>
      <c r="G328" s="2" t="str">
        <f aca="false">'MJLI 18'!E11</f>
        <v>01684-54657</v>
      </c>
      <c r="H328" s="2" t="n">
        <f aca="false">IFERROR(INDEX(ATT_DATA!$D$2:$D$231,MATCH($B328&amp;"||"&amp;$D328,ATT_DATA!$G$2:$G$231,0)),"")</f>
        <v>31</v>
      </c>
      <c r="I328" s="2" t="n">
        <f aca="false">IFERROR(INDEX(ATT_DATA!$E$2:$E$231,MATCH($B328&amp;"||"&amp;$D328,ATT_DATA!$G$2:$G$231,0)),"")</f>
        <v>2</v>
      </c>
      <c r="J328" s="2" t="n">
        <f aca="false">IFERROR(INDEX(ATT_DATA!$F$2:$F$231,MATCH($B328&amp;"||"&amp;$D328,ATT_DATA!$G$2:$G$231,0)),"")</f>
        <v>0</v>
      </c>
      <c r="K328" s="2" t="n">
        <f aca="false">IF(OR(H328="",ISNUMBER(H328)=FALSE()),"",H328+I328+J328)</f>
        <v>33</v>
      </c>
      <c r="L328" s="3" t="n">
        <f aca="false">IFERROR(H328/K328,"")</f>
        <v>0.939393939393939</v>
      </c>
    </row>
    <row r="329" customFormat="false" ht="15" hidden="false" customHeight="false" outlineLevel="0" collapsed="false">
      <c r="A329" s="2" t="n">
        <v>328</v>
      </c>
      <c r="B329" s="2" t="s">
        <v>39</v>
      </c>
      <c r="C329" s="2" t="s">
        <v>33</v>
      </c>
      <c r="D329" s="2" t="n">
        <f aca="false">'MJLI 18'!C12</f>
        <v>25231</v>
      </c>
      <c r="E329" s="2" t="str">
        <f aca="false">'MJLI 18'!B12</f>
        <v>BOISHAKHI AKTER🟢</v>
      </c>
      <c r="F329" s="2" t="str">
        <f aca="false">'MJLI 18'!D12</f>
        <v>01969-023576</v>
      </c>
      <c r="G329" s="2" t="str">
        <f aca="false">'MJLI 18'!E12</f>
        <v>01772-298186</v>
      </c>
      <c r="H329" s="2" t="n">
        <f aca="false">IFERROR(INDEX(ATT_DATA!$D$2:$D$231,MATCH($B329&amp;"||"&amp;$D329,ATT_DATA!$G$2:$G$231,0)),"")</f>
        <v>26</v>
      </c>
      <c r="I329" s="2" t="n">
        <f aca="false">IFERROR(INDEX(ATT_DATA!$E$2:$E$231,MATCH($B329&amp;"||"&amp;$D329,ATT_DATA!$G$2:$G$231,0)),"")</f>
        <v>7</v>
      </c>
      <c r="J329" s="2" t="n">
        <f aca="false">IFERROR(INDEX(ATT_DATA!$F$2:$F$231,MATCH($B329&amp;"||"&amp;$D329,ATT_DATA!$G$2:$G$231,0)),"")</f>
        <v>0</v>
      </c>
      <c r="K329" s="2" t="n">
        <f aca="false">IF(OR(H329="",ISNUMBER(H329)=FALSE()),"",H329+I329+J329)</f>
        <v>33</v>
      </c>
      <c r="L329" s="3" t="n">
        <f aca="false">IFERROR(H329/K329,"")</f>
        <v>0.787878787878788</v>
      </c>
    </row>
    <row r="330" customFormat="false" ht="15" hidden="false" customHeight="false" outlineLevel="0" collapsed="false">
      <c r="A330" s="2" t="n">
        <v>329</v>
      </c>
      <c r="B330" s="2" t="s">
        <v>39</v>
      </c>
      <c r="C330" s="2" t="s">
        <v>33</v>
      </c>
      <c r="D330" s="2" t="n">
        <f aca="false">'MJLI 18'!C13</f>
        <v>26326</v>
      </c>
      <c r="E330" s="2" t="str">
        <f aca="false">'MJLI 18'!B13</f>
        <v>WAFA  ALOM🟢</v>
      </c>
      <c r="F330" s="2" t="str">
        <f aca="false">'MJLI 18'!D13</f>
        <v>01620-053040</v>
      </c>
      <c r="G330" s="2" t="str">
        <f aca="false">'MJLI 18'!E13</f>
        <v>01923-417380</v>
      </c>
      <c r="H330" s="2" t="str">
        <f aca="false">IFERROR(INDEX(ATT_DATA!$D$2:$D$231,MATCH($B330&amp;"||"&amp;$D330,ATT_DATA!$G$2:$G$231,0)),"")</f>
        <v/>
      </c>
      <c r="I330" s="2" t="str">
        <f aca="false">IFERROR(INDEX(ATT_DATA!$E$2:$E$231,MATCH($B330&amp;"||"&amp;$D330,ATT_DATA!$G$2:$G$231,0)),"")</f>
        <v/>
      </c>
      <c r="J330" s="2" t="str">
        <f aca="false">IFERROR(INDEX(ATT_DATA!$F$2:$F$231,MATCH($B330&amp;"||"&amp;$D330,ATT_DATA!$G$2:$G$231,0)),"")</f>
        <v/>
      </c>
      <c r="K330" s="2" t="str">
        <f aca="false">IF(OR(H330="",ISNUMBER(H330)=FALSE()),"",H330+I330+J330)</f>
        <v/>
      </c>
      <c r="L330" s="3" t="str">
        <f aca="false">IFERROR(H330/K330,"")</f>
        <v/>
      </c>
    </row>
    <row r="331" customFormat="false" ht="15" hidden="false" customHeight="false" outlineLevel="0" collapsed="false">
      <c r="A331" s="2" t="n">
        <v>330</v>
      </c>
      <c r="B331" s="2" t="s">
        <v>39</v>
      </c>
      <c r="C331" s="2" t="s">
        <v>33</v>
      </c>
      <c r="D331" s="2" t="n">
        <f aca="false">'MJLI 18'!C14</f>
        <v>26327</v>
      </c>
      <c r="E331" s="2" t="str">
        <f aca="false">'MJLI 18'!B14</f>
        <v>AYSHA AKHTER TASNIM🟣</v>
      </c>
      <c r="F331" s="2" t="str">
        <f aca="false">'MJLI 18'!D14</f>
        <v>01833-542804</v>
      </c>
      <c r="G331" s="2" t="str">
        <f aca="false">'MJLI 18'!E14</f>
        <v>01679-101004</v>
      </c>
      <c r="H331" s="2" t="str">
        <f aca="false">IFERROR(INDEX(ATT_DATA!$D$2:$D$231,MATCH($B331&amp;"||"&amp;$D331,ATT_DATA!$G$2:$G$231,0)),"")</f>
        <v/>
      </c>
      <c r="I331" s="2" t="str">
        <f aca="false">IFERROR(INDEX(ATT_DATA!$E$2:$E$231,MATCH($B331&amp;"||"&amp;$D331,ATT_DATA!$G$2:$G$231,0)),"")</f>
        <v/>
      </c>
      <c r="J331" s="2" t="str">
        <f aca="false">IFERROR(INDEX(ATT_DATA!$F$2:$F$231,MATCH($B331&amp;"||"&amp;$D331,ATT_DATA!$G$2:$G$231,0)),"")</f>
        <v/>
      </c>
      <c r="K331" s="2" t="str">
        <f aca="false">IF(OR(H331="",ISNUMBER(H331)=FALSE()),"",H331+I331+J331)</f>
        <v/>
      </c>
      <c r="L331" s="3" t="str">
        <f aca="false">IFERROR(H331/K331,"")</f>
        <v/>
      </c>
    </row>
    <row r="332" customFormat="false" ht="15" hidden="false" customHeight="false" outlineLevel="0" collapsed="false">
      <c r="A332" s="2" t="n">
        <v>331</v>
      </c>
      <c r="B332" s="2" t="s">
        <v>39</v>
      </c>
      <c r="C332" s="2" t="s">
        <v>33</v>
      </c>
      <c r="D332" s="2" t="n">
        <f aca="false">'MJLI 18'!C15</f>
        <v>26328</v>
      </c>
      <c r="E332" s="2" t="str">
        <f aca="false">'MJLI 18'!B15</f>
        <v>AL MAHMUD AKTAZ🟢</v>
      </c>
      <c r="F332" s="2" t="str">
        <f aca="false">'MJLI 18'!D15</f>
        <v>01883-666019</v>
      </c>
      <c r="G332" s="2" t="str">
        <f aca="false">'MJLI 18'!E15</f>
        <v>01779-091020</v>
      </c>
      <c r="H332" s="2" t="str">
        <f aca="false">IFERROR(INDEX(ATT_DATA!$D$2:$D$231,MATCH($B332&amp;"||"&amp;$D332,ATT_DATA!$G$2:$G$231,0)),"")</f>
        <v/>
      </c>
      <c r="I332" s="2" t="str">
        <f aca="false">IFERROR(INDEX(ATT_DATA!$E$2:$E$231,MATCH($B332&amp;"||"&amp;$D332,ATT_DATA!$G$2:$G$231,0)),"")</f>
        <v/>
      </c>
      <c r="J332" s="2" t="str">
        <f aca="false">IFERROR(INDEX(ATT_DATA!$F$2:$F$231,MATCH($B332&amp;"||"&amp;$D332,ATT_DATA!$G$2:$G$231,0)),"")</f>
        <v/>
      </c>
      <c r="K332" s="2" t="str">
        <f aca="false">IF(OR(H332="",ISNUMBER(H332)=FALSE()),"",H332+I332+J332)</f>
        <v/>
      </c>
      <c r="L332" s="3" t="str">
        <f aca="false">IFERROR(H332/K332,"")</f>
        <v/>
      </c>
    </row>
    <row r="333" customFormat="false" ht="15" hidden="false" customHeight="false" outlineLevel="0" collapsed="false">
      <c r="A333" s="2" t="n">
        <v>332</v>
      </c>
      <c r="B333" s="2" t="s">
        <v>39</v>
      </c>
      <c r="C333" s="2" t="s">
        <v>33</v>
      </c>
      <c r="D333" s="2" t="n">
        <f aca="false">'MJLI 18'!C16</f>
        <v>26310</v>
      </c>
      <c r="E333" s="2" t="str">
        <f aca="false">'MJLI 18'!B16</f>
        <v>SAZZAD BEPARI 🟢</v>
      </c>
      <c r="F333" s="2" t="str">
        <f aca="false">'MJLI 18'!D16</f>
        <v>01611-491812</v>
      </c>
      <c r="G333" s="2" t="str">
        <f aca="false">'MJLI 18'!E16</f>
        <v>01712-294147</v>
      </c>
      <c r="H333" s="2" t="str">
        <f aca="false">IFERROR(INDEX(ATT_DATA!$D$2:$D$231,MATCH($B333&amp;"||"&amp;$D333,ATT_DATA!$G$2:$G$231,0)),"")</f>
        <v/>
      </c>
      <c r="I333" s="2" t="str">
        <f aca="false">IFERROR(INDEX(ATT_DATA!$E$2:$E$231,MATCH($B333&amp;"||"&amp;$D333,ATT_DATA!$G$2:$G$231,0)),"")</f>
        <v/>
      </c>
      <c r="J333" s="2" t="str">
        <f aca="false">IFERROR(INDEX(ATT_DATA!$F$2:$F$231,MATCH($B333&amp;"||"&amp;$D333,ATT_DATA!$G$2:$G$231,0)),"")</f>
        <v/>
      </c>
      <c r="K333" s="2" t="str">
        <f aca="false">IF(OR(H333="",ISNUMBER(H333)=FALSE()),"",H333+I333+J333)</f>
        <v/>
      </c>
      <c r="L333" s="3" t="str">
        <f aca="false">IFERROR(H333/K333,"")</f>
        <v/>
      </c>
    </row>
    <row r="334" customFormat="false" ht="15" hidden="false" customHeight="false" outlineLevel="0" collapsed="false">
      <c r="A334" s="2" t="n">
        <v>333</v>
      </c>
      <c r="B334" s="2" t="s">
        <v>39</v>
      </c>
      <c r="C334" s="2" t="s">
        <v>33</v>
      </c>
      <c r="D334" s="2" t="n">
        <f aca="false">'MJLI 18'!C17</f>
        <v>26335</v>
      </c>
      <c r="E334" s="2" t="str">
        <f aca="false">'MJLI 18'!B17</f>
        <v>AYSHA AKHTER RIA🟢</v>
      </c>
      <c r="F334" s="2" t="str">
        <f aca="false">'MJLI 18'!D17</f>
        <v>01888-678560</v>
      </c>
      <c r="G334" s="2" t="str">
        <f aca="false">'MJLI 18'!E17</f>
        <v>01609-726987</v>
      </c>
      <c r="H334" s="2" t="n">
        <f aca="false">IFERROR(INDEX(ATT_DATA!$D$2:$D$231,MATCH($B334&amp;"||"&amp;$D334,ATT_DATA!$G$2:$G$231,0)),"")</f>
        <v>21</v>
      </c>
      <c r="I334" s="2" t="n">
        <f aca="false">IFERROR(INDEX(ATT_DATA!$E$2:$E$231,MATCH($B334&amp;"||"&amp;$D334,ATT_DATA!$G$2:$G$231,0)),"")</f>
        <v>4</v>
      </c>
      <c r="J334" s="2" t="n">
        <f aca="false">IFERROR(INDEX(ATT_DATA!$F$2:$F$231,MATCH($B334&amp;"||"&amp;$D334,ATT_DATA!$G$2:$G$231,0)),"")</f>
        <v>0</v>
      </c>
      <c r="K334" s="2" t="n">
        <f aca="false">IF(OR(H334="",ISNUMBER(H334)=FALSE()),"",H334+I334+J334)</f>
        <v>25</v>
      </c>
      <c r="L334" s="3" t="n">
        <f aca="false">IFERROR(H334/K334,"")</f>
        <v>0.84</v>
      </c>
    </row>
    <row r="335" customFormat="false" ht="15" hidden="false" customHeight="false" outlineLevel="0" collapsed="false">
      <c r="A335" s="2" t="n">
        <v>334</v>
      </c>
      <c r="B335" s="2" t="s">
        <v>39</v>
      </c>
      <c r="C335" s="2" t="s">
        <v>33</v>
      </c>
      <c r="D335" s="2" t="n">
        <f aca="false">'MJLI 18'!C18</f>
        <v>26264</v>
      </c>
      <c r="E335" s="2" t="str">
        <f aca="false">'MJLI 18'!B18</f>
        <v>MORSHALIN MAHI🔵</v>
      </c>
      <c r="F335" s="2" t="str">
        <f aca="false">'MJLI 18'!D18</f>
        <v>01917-804949</v>
      </c>
      <c r="G335" s="2" t="str">
        <f aca="false">'MJLI 18'!E18</f>
        <v>01714-221347</v>
      </c>
      <c r="H335" s="2" t="n">
        <f aca="false">IFERROR(INDEX(ATT_DATA!$D$2:$D$231,MATCH($B335&amp;"||"&amp;$D335,ATT_DATA!$G$2:$G$231,0)),"")</f>
        <v>1</v>
      </c>
      <c r="I335" s="2" t="n">
        <f aca="false">IFERROR(INDEX(ATT_DATA!$E$2:$E$231,MATCH($B335&amp;"||"&amp;$D335,ATT_DATA!$G$2:$G$231,0)),"")</f>
        <v>15</v>
      </c>
      <c r="J335" s="2" t="n">
        <f aca="false">IFERROR(INDEX(ATT_DATA!$F$2:$F$231,MATCH($B335&amp;"||"&amp;$D335,ATT_DATA!$G$2:$G$231,0)),"")</f>
        <v>0</v>
      </c>
      <c r="K335" s="2" t="n">
        <f aca="false">IF(OR(H335="",ISNUMBER(H335)=FALSE()),"",H335+I335+J335)</f>
        <v>16</v>
      </c>
      <c r="L335" s="3" t="n">
        <f aca="false">IFERROR(H335/K335,"")</f>
        <v>0.0625</v>
      </c>
    </row>
    <row r="336" customFormat="false" ht="15" hidden="false" customHeight="false" outlineLevel="0" collapsed="false">
      <c r="A336" s="2" t="n">
        <v>335</v>
      </c>
      <c r="B336" s="2" t="s">
        <v>39</v>
      </c>
      <c r="C336" s="2" t="s">
        <v>33</v>
      </c>
      <c r="D336" s="2" t="n">
        <f aca="false">'MJLI 18'!C19</f>
        <v>26269</v>
      </c>
      <c r="E336" s="2" t="str">
        <f aca="false">'MJLI 18'!B19</f>
        <v>FAHAD HOSSAIN🟢</v>
      </c>
      <c r="F336" s="2" t="str">
        <f aca="false">'MJLI 18'!D19</f>
        <v>01811-451717</v>
      </c>
      <c r="G336" s="2" t="str">
        <f aca="false">'MJLI 18'!E19</f>
        <v>01811-451717</v>
      </c>
      <c r="H336" s="2" t="str">
        <f aca="false">IFERROR(INDEX(ATT_DATA!$D$2:$D$231,MATCH($B336&amp;"||"&amp;$D336,ATT_DATA!$G$2:$G$231,0)),"")</f>
        <v/>
      </c>
      <c r="I336" s="2" t="str">
        <f aca="false">IFERROR(INDEX(ATT_DATA!$E$2:$E$231,MATCH($B336&amp;"||"&amp;$D336,ATT_DATA!$G$2:$G$231,0)),"")</f>
        <v/>
      </c>
      <c r="J336" s="2" t="str">
        <f aca="false">IFERROR(INDEX(ATT_DATA!$F$2:$F$231,MATCH($B336&amp;"||"&amp;$D336,ATT_DATA!$G$2:$G$231,0)),"")</f>
        <v/>
      </c>
      <c r="K336" s="2" t="str">
        <f aca="false">IF(OR(H336="",ISNUMBER(H336)=FALSE()),"",H336+I336+J336)</f>
        <v/>
      </c>
      <c r="L336" s="3" t="str">
        <f aca="false">IFERROR(H336/K336,"")</f>
        <v/>
      </c>
    </row>
    <row r="337" customFormat="false" ht="15" hidden="false" customHeight="false" outlineLevel="0" collapsed="false">
      <c r="A337" s="2" t="n">
        <v>336</v>
      </c>
      <c r="B337" s="2" t="s">
        <v>39</v>
      </c>
      <c r="C337" s="2" t="s">
        <v>33</v>
      </c>
      <c r="D337" s="2" t="n">
        <f aca="false">'MJLI 18'!C20</f>
        <v>26324</v>
      </c>
      <c r="E337" s="2" t="str">
        <f aca="false">'MJLI 18'!B20</f>
        <v>MD. ALVI HAQUE🔵</v>
      </c>
      <c r="F337" s="2" t="str">
        <f aca="false">'MJLI 18'!D20</f>
        <v>01706-508632</v>
      </c>
      <c r="G337" s="2" t="str">
        <f aca="false">'MJLI 18'!E20</f>
        <v>01779-295561</v>
      </c>
      <c r="H337" s="2" t="n">
        <f aca="false">IFERROR(INDEX(ATT_DATA!$D$2:$D$231,MATCH($B337&amp;"||"&amp;$D337,ATT_DATA!$G$2:$G$231,0)),"")</f>
        <v>14</v>
      </c>
      <c r="I337" s="2" t="n">
        <f aca="false">IFERROR(INDEX(ATT_DATA!$E$2:$E$231,MATCH($B337&amp;"||"&amp;$D337,ATT_DATA!$G$2:$G$231,0)),"")</f>
        <v>7</v>
      </c>
      <c r="J337" s="2" t="n">
        <f aca="false">IFERROR(INDEX(ATT_DATA!$F$2:$F$231,MATCH($B337&amp;"||"&amp;$D337,ATT_DATA!$G$2:$G$231,0)),"")</f>
        <v>0</v>
      </c>
      <c r="K337" s="2" t="n">
        <f aca="false">IF(OR(H337="",ISNUMBER(H337)=FALSE()),"",H337+I337+J337)</f>
        <v>21</v>
      </c>
      <c r="L337" s="3" t="n">
        <f aca="false">IFERROR(H337/K337,"")</f>
        <v>0.666666666666667</v>
      </c>
    </row>
    <row r="338" customFormat="false" ht="15" hidden="false" customHeight="false" outlineLevel="0" collapsed="false">
      <c r="A338" s="2" t="n">
        <v>337</v>
      </c>
      <c r="B338" s="2" t="s">
        <v>39</v>
      </c>
      <c r="C338" s="2" t="s">
        <v>33</v>
      </c>
      <c r="D338" s="2" t="n">
        <f aca="false">'MJLI 18'!C21</f>
        <v>26316</v>
      </c>
      <c r="E338" s="2" t="str">
        <f aca="false">'MJLI 18'!B21</f>
        <v>MOHAMMAD ALOM🔵</v>
      </c>
      <c r="F338" s="2" t="str">
        <f aca="false">'MJLI 18'!D21</f>
        <v>01770-065019</v>
      </c>
      <c r="G338" s="2" t="str">
        <f aca="false">'MJLI 18'!E21</f>
        <v>01738-205157</v>
      </c>
      <c r="H338" s="2" t="n">
        <f aca="false">IFERROR(INDEX(ATT_DATA!$D$2:$D$231,MATCH($B338&amp;"||"&amp;$D338,ATT_DATA!$G$2:$G$231,0)),"")</f>
        <v>5</v>
      </c>
      <c r="I338" s="2" t="n">
        <f aca="false">IFERROR(INDEX(ATT_DATA!$E$2:$E$231,MATCH($B338&amp;"||"&amp;$D338,ATT_DATA!$G$2:$G$231,0)),"")</f>
        <v>28</v>
      </c>
      <c r="J338" s="2" t="n">
        <f aca="false">IFERROR(INDEX(ATT_DATA!$F$2:$F$231,MATCH($B338&amp;"||"&amp;$D338,ATT_DATA!$G$2:$G$231,0)),"")</f>
        <v>0</v>
      </c>
      <c r="K338" s="2" t="n">
        <f aca="false">IF(OR(H338="",ISNUMBER(H338)=FALSE()),"",H338+I338+J338)</f>
        <v>33</v>
      </c>
      <c r="L338" s="3" t="n">
        <f aca="false">IFERROR(H338/K338,"")</f>
        <v>0.151515151515152</v>
      </c>
    </row>
    <row r="339" customFormat="false" ht="15" hidden="false" customHeight="false" outlineLevel="0" collapsed="false">
      <c r="A339" s="2" t="n">
        <v>338</v>
      </c>
      <c r="B339" s="2" t="s">
        <v>39</v>
      </c>
      <c r="C339" s="2" t="s">
        <v>33</v>
      </c>
      <c r="D339" s="2" t="n">
        <f aca="false">'MJLI 18'!C22</f>
        <v>26271</v>
      </c>
      <c r="E339" s="2" t="str">
        <f aca="false">'MJLI 18'!B22</f>
        <v>LUCKYI ISLAM🟡</v>
      </c>
      <c r="F339" s="2" t="str">
        <f aca="false">'MJLI 18'!D22</f>
        <v>01792-181319</v>
      </c>
      <c r="G339" s="2" t="str">
        <f aca="false">'MJLI 18'!E22</f>
        <v>01864-940169</v>
      </c>
      <c r="H339" s="2" t="str">
        <f aca="false">IFERROR(INDEX(ATT_DATA!$D$2:$D$231,MATCH($B339&amp;"||"&amp;$D339,ATT_DATA!$G$2:$G$231,0)),"")</f>
        <v/>
      </c>
      <c r="I339" s="2" t="str">
        <f aca="false">IFERROR(INDEX(ATT_DATA!$E$2:$E$231,MATCH($B339&amp;"||"&amp;$D339,ATT_DATA!$G$2:$G$231,0)),"")</f>
        <v/>
      </c>
      <c r="J339" s="2" t="str">
        <f aca="false">IFERROR(INDEX(ATT_DATA!$F$2:$F$231,MATCH($B339&amp;"||"&amp;$D339,ATT_DATA!$G$2:$G$231,0)),"")</f>
        <v/>
      </c>
      <c r="K339" s="2" t="str">
        <f aca="false">IF(OR(H339="",ISNUMBER(H339)=FALSE()),"",H339+I339+J339)</f>
        <v/>
      </c>
      <c r="L339" s="3" t="str">
        <f aca="false">IFERROR(H339/K339,"")</f>
        <v/>
      </c>
    </row>
    <row r="340" customFormat="false" ht="15" hidden="false" customHeight="false" outlineLevel="0" collapsed="false">
      <c r="A340" s="2" t="n">
        <v>339</v>
      </c>
      <c r="B340" s="2" t="s">
        <v>39</v>
      </c>
      <c r="C340" s="2" t="s">
        <v>33</v>
      </c>
      <c r="D340" s="2" t="n">
        <f aca="false">'MJLI 18'!C23</f>
        <v>26292</v>
      </c>
      <c r="E340" s="2" t="str">
        <f aca="false">'MJLI 18'!B23</f>
        <v>PIPASHA ROY🟡</v>
      </c>
      <c r="F340" s="2" t="str">
        <f aca="false">'MJLI 18'!D23</f>
        <v>01910-101993</v>
      </c>
      <c r="G340" s="2" t="str">
        <f aca="false">'MJLI 18'!E23</f>
        <v>01816-712289</v>
      </c>
      <c r="H340" s="2" t="n">
        <f aca="false">IFERROR(INDEX(ATT_DATA!$D$2:$D$231,MATCH($B340&amp;"||"&amp;$D340,ATT_DATA!$G$2:$G$231,0)),"")</f>
        <v>3</v>
      </c>
      <c r="I340" s="2" t="n">
        <f aca="false">IFERROR(INDEX(ATT_DATA!$E$2:$E$231,MATCH($B340&amp;"||"&amp;$D340,ATT_DATA!$G$2:$G$231,0)),"")</f>
        <v>0</v>
      </c>
      <c r="J340" s="2" t="n">
        <f aca="false">IFERROR(INDEX(ATT_DATA!$F$2:$F$231,MATCH($B340&amp;"||"&amp;$D340,ATT_DATA!$G$2:$G$231,0)),"")</f>
        <v>0</v>
      </c>
      <c r="K340" s="2" t="n">
        <f aca="false">IF(OR(H340="",ISNUMBER(H340)=FALSE()),"",H340+I340+J340)</f>
        <v>3</v>
      </c>
      <c r="L340" s="3" t="n">
        <f aca="false">IFERROR(H340/K340,"")</f>
        <v>1</v>
      </c>
    </row>
    <row r="341" customFormat="false" ht="15" hidden="false" customHeight="false" outlineLevel="0" collapsed="false">
      <c r="A341" s="2" t="n">
        <v>340</v>
      </c>
      <c r="B341" s="2" t="s">
        <v>39</v>
      </c>
      <c r="C341" s="2" t="s">
        <v>33</v>
      </c>
      <c r="D341" s="2" t="n">
        <f aca="false">'MJLI 18'!C24</f>
        <v>26289</v>
      </c>
      <c r="E341" s="2" t="str">
        <f aca="false">'MJLI 18'!B24</f>
        <v> MOHAMMAD NAIM🟣</v>
      </c>
      <c r="F341" s="2" t="str">
        <f aca="false">'MJLI 18'!D24</f>
        <v>01986-421576</v>
      </c>
      <c r="G341" s="2" t="str">
        <f aca="false">'MJLI 18'!E24</f>
        <v>01646-814758</v>
      </c>
      <c r="H341" s="2" t="str">
        <f aca="false">IFERROR(INDEX(ATT_DATA!$D$2:$D$231,MATCH($B341&amp;"||"&amp;$D341,ATT_DATA!$G$2:$G$231,0)),"")</f>
        <v/>
      </c>
      <c r="I341" s="2" t="str">
        <f aca="false">IFERROR(INDEX(ATT_DATA!$E$2:$E$231,MATCH($B341&amp;"||"&amp;$D341,ATT_DATA!$G$2:$G$231,0)),"")</f>
        <v/>
      </c>
      <c r="J341" s="2" t="str">
        <f aca="false">IFERROR(INDEX(ATT_DATA!$F$2:$F$231,MATCH($B341&amp;"||"&amp;$D341,ATT_DATA!$G$2:$G$231,0)),"")</f>
        <v/>
      </c>
      <c r="K341" s="2" t="str">
        <f aca="false">IF(OR(H341="",ISNUMBER(H341)=FALSE()),"",H341+I341+J341)</f>
        <v/>
      </c>
      <c r="L341" s="3" t="str">
        <f aca="false">IFERROR(H341/K341,"")</f>
        <v/>
      </c>
    </row>
    <row r="342" customFormat="false" ht="15" hidden="false" customHeight="false" outlineLevel="0" collapsed="false">
      <c r="A342" s="2" t="n">
        <v>341</v>
      </c>
      <c r="B342" s="2" t="s">
        <v>39</v>
      </c>
      <c r="C342" s="2" t="s">
        <v>33</v>
      </c>
      <c r="D342" s="2" t="n">
        <f aca="false">'MJLI 18'!C25</f>
        <v>26284</v>
      </c>
      <c r="E342" s="2" t="str">
        <f aca="false">'MJLI 18'!B25</f>
        <v>MOHAMMAD AKASH🟢</v>
      </c>
      <c r="F342" s="2" t="str">
        <f aca="false">'MJLI 18'!D25</f>
        <v>01778-265174</v>
      </c>
      <c r="G342" s="2" t="str">
        <f aca="false">'MJLI 18'!E25</f>
        <v>01728-350070</v>
      </c>
      <c r="H342" s="2" t="str">
        <f aca="false">IFERROR(INDEX(ATT_DATA!$D$2:$D$231,MATCH($B342&amp;"||"&amp;$D342,ATT_DATA!$G$2:$G$231,0)),"")</f>
        <v/>
      </c>
      <c r="I342" s="2" t="str">
        <f aca="false">IFERROR(INDEX(ATT_DATA!$E$2:$E$231,MATCH($B342&amp;"||"&amp;$D342,ATT_DATA!$G$2:$G$231,0)),"")</f>
        <v/>
      </c>
      <c r="J342" s="2" t="str">
        <f aca="false">IFERROR(INDEX(ATT_DATA!$F$2:$F$231,MATCH($B342&amp;"||"&amp;$D342,ATT_DATA!$G$2:$G$231,0)),"")</f>
        <v/>
      </c>
      <c r="K342" s="2" t="str">
        <f aca="false">IF(OR(H342="",ISNUMBER(H342)=FALSE()),"",H342+I342+J342)</f>
        <v/>
      </c>
      <c r="L342" s="3" t="str">
        <f aca="false">IFERROR(H342/K342,"")</f>
        <v/>
      </c>
    </row>
    <row r="343" customFormat="false" ht="15" hidden="false" customHeight="false" outlineLevel="0" collapsed="false">
      <c r="A343" s="2" t="n">
        <v>342</v>
      </c>
      <c r="B343" s="2" t="s">
        <v>39</v>
      </c>
      <c r="C343" s="2" t="s">
        <v>33</v>
      </c>
      <c r="D343" s="2" t="n">
        <f aca="false">'MJLI 18'!C26</f>
        <v>26314</v>
      </c>
      <c r="E343" s="2" t="str">
        <f aca="false">'MJLI 18'!B26</f>
        <v>MD SELIM UDDIN🟢</v>
      </c>
      <c r="F343" s="2" t="str">
        <f aca="false">'MJLI 18'!D26</f>
        <v>01796-409850</v>
      </c>
      <c r="G343" s="2" t="str">
        <f aca="false">'MJLI 18'!E26</f>
        <v>01968-141906</v>
      </c>
      <c r="H343" s="2" t="n">
        <f aca="false">IFERROR(INDEX(ATT_DATA!$D$2:$D$231,MATCH($B343&amp;"||"&amp;$D343,ATT_DATA!$G$2:$G$231,0)),"")</f>
        <v>3</v>
      </c>
      <c r="I343" s="2" t="n">
        <f aca="false">IFERROR(INDEX(ATT_DATA!$E$2:$E$231,MATCH($B343&amp;"||"&amp;$D343,ATT_DATA!$G$2:$G$231,0)),"")</f>
        <v>0</v>
      </c>
      <c r="J343" s="2" t="n">
        <f aca="false">IFERROR(INDEX(ATT_DATA!$F$2:$F$231,MATCH($B343&amp;"||"&amp;$D343,ATT_DATA!$G$2:$G$231,0)),"")</f>
        <v>0</v>
      </c>
      <c r="K343" s="2" t="n">
        <f aca="false">IF(OR(H343="",ISNUMBER(H343)=FALSE()),"",H343+I343+J343)</f>
        <v>3</v>
      </c>
      <c r="L343" s="3" t="n">
        <f aca="false">IFERROR(H343/K343,"")</f>
        <v>1</v>
      </c>
    </row>
    <row r="344" customFormat="false" ht="15" hidden="false" customHeight="false" outlineLevel="0" collapsed="false">
      <c r="A344" s="2" t="n">
        <v>343</v>
      </c>
      <c r="B344" s="2" t="s">
        <v>40</v>
      </c>
      <c r="C344" s="2" t="s">
        <v>33</v>
      </c>
      <c r="D344" s="2" t="n">
        <f aca="false">'MJLI 19'!C5</f>
        <v>26325</v>
      </c>
      <c r="E344" s="2" t="str">
        <f aca="false">'MJLI 19'!B5</f>
        <v>MD NUR ALOM🟢</v>
      </c>
      <c r="F344" s="2" t="str">
        <f aca="false">'MJLI 19'!D5</f>
        <v>01747-667790</v>
      </c>
      <c r="G344" s="2" t="str">
        <f aca="false">'MJLI 19'!E5</f>
        <v>01727-343019</v>
      </c>
      <c r="H344" s="2" t="n">
        <f aca="false">IFERROR(INDEX(ATT_DATA!$D$2:$D$231,MATCH($B344&amp;"||"&amp;$D344,ATT_DATA!$G$2:$G$231,0)),"")</f>
        <v>16</v>
      </c>
      <c r="I344" s="2" t="n">
        <f aca="false">IFERROR(INDEX(ATT_DATA!$E$2:$E$231,MATCH($B344&amp;"||"&amp;$D344,ATT_DATA!$G$2:$G$231,0)),"")</f>
        <v>6</v>
      </c>
      <c r="J344" s="2" t="n">
        <f aca="false">IFERROR(INDEX(ATT_DATA!$F$2:$F$231,MATCH($B344&amp;"||"&amp;$D344,ATT_DATA!$G$2:$G$231,0)),"")</f>
        <v>0</v>
      </c>
      <c r="K344" s="2" t="n">
        <f aca="false">IF(OR(H344="",ISNUMBER(H344)=FALSE()),"",H344+I344+J344)</f>
        <v>22</v>
      </c>
      <c r="L344" s="3" t="n">
        <f aca="false">IFERROR(H344/K344,"")</f>
        <v>0.727272727272727</v>
      </c>
    </row>
    <row r="345" customFormat="false" ht="15" hidden="false" customHeight="false" outlineLevel="0" collapsed="false">
      <c r="A345" s="2" t="n">
        <v>344</v>
      </c>
      <c r="B345" s="2" t="s">
        <v>40</v>
      </c>
      <c r="C345" s="2" t="s">
        <v>33</v>
      </c>
      <c r="D345" s="2" t="n">
        <f aca="false">'MJLI 19'!C6</f>
        <v>26343</v>
      </c>
      <c r="E345" s="2" t="str">
        <f aca="false">'MJLI 19'!B6</f>
        <v>IBRAHIM🟢</v>
      </c>
      <c r="F345" s="2" t="str">
        <f aca="false">'MJLI 19'!D6</f>
        <v>01965-107613</v>
      </c>
      <c r="G345" s="2" t="n">
        <f aca="false">'MJLI 19'!E6</f>
        <v>0</v>
      </c>
      <c r="H345" s="2" t="n">
        <f aca="false">IFERROR(INDEX(ATT_DATA!$D$2:$D$231,MATCH($B345&amp;"||"&amp;$D345,ATT_DATA!$G$2:$G$231,0)),"")</f>
        <v>20</v>
      </c>
      <c r="I345" s="2" t="n">
        <f aca="false">IFERROR(INDEX(ATT_DATA!$E$2:$E$231,MATCH($B345&amp;"||"&amp;$D345,ATT_DATA!$G$2:$G$231,0)),"")</f>
        <v>1</v>
      </c>
      <c r="J345" s="2" t="n">
        <f aca="false">IFERROR(INDEX(ATT_DATA!$F$2:$F$231,MATCH($B345&amp;"||"&amp;$D345,ATT_DATA!$G$2:$G$231,0)),"")</f>
        <v>1</v>
      </c>
      <c r="K345" s="2" t="n">
        <f aca="false">IF(OR(H345="",ISNUMBER(H345)=FALSE()),"",H345+I345+J345)</f>
        <v>22</v>
      </c>
      <c r="L345" s="3" t="n">
        <f aca="false">IFERROR(H345/K345,"")</f>
        <v>0.909090909090909</v>
      </c>
    </row>
    <row r="346" customFormat="false" ht="15" hidden="false" customHeight="false" outlineLevel="0" collapsed="false">
      <c r="A346" s="2" t="n">
        <v>345</v>
      </c>
      <c r="B346" s="2" t="s">
        <v>40</v>
      </c>
      <c r="C346" s="2" t="s">
        <v>33</v>
      </c>
      <c r="D346" s="2" t="n">
        <f aca="false">'MJLI 19'!C7</f>
        <v>26342</v>
      </c>
      <c r="E346" s="2" t="str">
        <f aca="false">'MJLI 19'!B7</f>
        <v>EVA🟢</v>
      </c>
      <c r="F346" s="2" t="str">
        <f aca="false">'MJLI 19'!D7</f>
        <v>01742-860731</v>
      </c>
      <c r="G346" s="2" t="n">
        <f aca="false">'MJLI 19'!E7</f>
        <v>0</v>
      </c>
      <c r="H346" s="2" t="n">
        <f aca="false">IFERROR(INDEX(ATT_DATA!$D$2:$D$231,MATCH($B346&amp;"||"&amp;$D346,ATT_DATA!$G$2:$G$231,0)),"")</f>
        <v>21</v>
      </c>
      <c r="I346" s="2" t="n">
        <f aca="false">IFERROR(INDEX(ATT_DATA!$E$2:$E$231,MATCH($B346&amp;"||"&amp;$D346,ATT_DATA!$G$2:$G$231,0)),"")</f>
        <v>0</v>
      </c>
      <c r="J346" s="2" t="n">
        <f aca="false">IFERROR(INDEX(ATT_DATA!$F$2:$F$231,MATCH($B346&amp;"||"&amp;$D346,ATT_DATA!$G$2:$G$231,0)),"")</f>
        <v>1</v>
      </c>
      <c r="K346" s="2" t="n">
        <f aca="false">IF(OR(H346="",ISNUMBER(H346)=FALSE()),"",H346+I346+J346)</f>
        <v>22</v>
      </c>
      <c r="L346" s="3" t="n">
        <f aca="false">IFERROR(H346/K346,"")</f>
        <v>0.954545454545455</v>
      </c>
    </row>
    <row r="347" customFormat="false" ht="15" hidden="false" customHeight="false" outlineLevel="0" collapsed="false">
      <c r="A347" s="2" t="n">
        <v>346</v>
      </c>
      <c r="B347" s="2" t="s">
        <v>40</v>
      </c>
      <c r="C347" s="2" t="s">
        <v>33</v>
      </c>
      <c r="D347" s="2" t="n">
        <f aca="false">'MJLI 19'!C8</f>
        <v>26329</v>
      </c>
      <c r="E347" s="2" t="str">
        <f aca="false">'MJLI 19'!B8</f>
        <v>NAIMA ISLAM NISHAT🟣</v>
      </c>
      <c r="F347" s="2" t="str">
        <f aca="false">'MJLI 19'!D8</f>
        <v>01957-938358</v>
      </c>
      <c r="G347" s="2" t="str">
        <f aca="false">'MJLI 19'!E8</f>
        <v>01913-561334</v>
      </c>
      <c r="H347" s="2" t="n">
        <f aca="false">IFERROR(INDEX(ATT_DATA!$D$2:$D$231,MATCH($B347&amp;"||"&amp;$D347,ATT_DATA!$G$2:$G$231,0)),"")</f>
        <v>20</v>
      </c>
      <c r="I347" s="2" t="n">
        <f aca="false">IFERROR(INDEX(ATT_DATA!$E$2:$E$231,MATCH($B347&amp;"||"&amp;$D347,ATT_DATA!$G$2:$G$231,0)),"")</f>
        <v>2</v>
      </c>
      <c r="J347" s="2" t="n">
        <f aca="false">IFERROR(INDEX(ATT_DATA!$F$2:$F$231,MATCH($B347&amp;"||"&amp;$D347,ATT_DATA!$G$2:$G$231,0)),"")</f>
        <v>0</v>
      </c>
      <c r="K347" s="2" t="n">
        <f aca="false">IF(OR(H347="",ISNUMBER(H347)=FALSE()),"",H347+I347+J347)</f>
        <v>22</v>
      </c>
      <c r="L347" s="3" t="n">
        <f aca="false">IFERROR(H347/K347,"")</f>
        <v>0.909090909090909</v>
      </c>
    </row>
    <row r="348" customFormat="false" ht="15" hidden="false" customHeight="false" outlineLevel="0" collapsed="false">
      <c r="A348" s="2" t="n">
        <v>347</v>
      </c>
      <c r="B348" s="2" t="s">
        <v>40</v>
      </c>
      <c r="C348" s="2" t="s">
        <v>33</v>
      </c>
      <c r="D348" s="2" t="n">
        <f aca="false">'MJLI 19'!C9</f>
        <v>26331</v>
      </c>
      <c r="E348" s="2" t="str">
        <f aca="false">'MJLI 19'!B9</f>
        <v>MD IMTIAZ AHMED🟢</v>
      </c>
      <c r="F348" s="2" t="str">
        <f aca="false">'MJLI 19'!D9</f>
        <v>01939-344079</v>
      </c>
      <c r="G348" s="2" t="str">
        <f aca="false">'MJLI 19'!E9</f>
        <v>01733-756053</v>
      </c>
      <c r="H348" s="2" t="n">
        <f aca="false">IFERROR(INDEX(ATT_DATA!$D$2:$D$231,MATCH($B348&amp;"||"&amp;$D348,ATT_DATA!$G$2:$G$231,0)),"")</f>
        <v>21</v>
      </c>
      <c r="I348" s="2" t="n">
        <f aca="false">IFERROR(INDEX(ATT_DATA!$E$2:$E$231,MATCH($B348&amp;"||"&amp;$D348,ATT_DATA!$G$2:$G$231,0)),"")</f>
        <v>1</v>
      </c>
      <c r="J348" s="2" t="n">
        <f aca="false">IFERROR(INDEX(ATT_DATA!$F$2:$F$231,MATCH($B348&amp;"||"&amp;$D348,ATT_DATA!$G$2:$G$231,0)),"")</f>
        <v>0</v>
      </c>
      <c r="K348" s="2" t="n">
        <f aca="false">IF(OR(H348="",ISNUMBER(H348)=FALSE()),"",H348+I348+J348)</f>
        <v>22</v>
      </c>
      <c r="L348" s="3" t="n">
        <f aca="false">IFERROR(H348/K348,"")</f>
        <v>0.954545454545455</v>
      </c>
    </row>
    <row r="349" customFormat="false" ht="15" hidden="false" customHeight="false" outlineLevel="0" collapsed="false">
      <c r="A349" s="2" t="n">
        <v>348</v>
      </c>
      <c r="B349" s="2" t="s">
        <v>40</v>
      </c>
      <c r="C349" s="2" t="s">
        <v>33</v>
      </c>
      <c r="D349" s="2" t="n">
        <f aca="false">'MJLI 19'!C10</f>
        <v>26332</v>
      </c>
      <c r="E349" s="2" t="str">
        <f aca="false">'MJLI 19'!B10</f>
        <v>SIAM DOKANDER🟡</v>
      </c>
      <c r="F349" s="2" t="str">
        <f aca="false">'MJLI 19'!D10</f>
        <v>01349-308413</v>
      </c>
      <c r="G349" s="2" t="str">
        <f aca="false">'MJLI 19'!E10</f>
        <v>01830-394300</v>
      </c>
      <c r="H349" s="2" t="n">
        <f aca="false">IFERROR(INDEX(ATT_DATA!$D$2:$D$231,MATCH($B349&amp;"||"&amp;$D349,ATT_DATA!$G$2:$G$231,0)),"")</f>
        <v>17</v>
      </c>
      <c r="I349" s="2" t="n">
        <f aca="false">IFERROR(INDEX(ATT_DATA!$E$2:$E$231,MATCH($B349&amp;"||"&amp;$D349,ATT_DATA!$G$2:$G$231,0)),"")</f>
        <v>9</v>
      </c>
      <c r="J349" s="2" t="n">
        <f aca="false">IFERROR(INDEX(ATT_DATA!$F$2:$F$231,MATCH($B349&amp;"||"&amp;$D349,ATT_DATA!$G$2:$G$231,0)),"")</f>
        <v>0</v>
      </c>
      <c r="K349" s="2" t="n">
        <f aca="false">IF(OR(H349="",ISNUMBER(H349)=FALSE()),"",H349+I349+J349)</f>
        <v>26</v>
      </c>
      <c r="L349" s="3" t="n">
        <f aca="false">IFERROR(H349/K349,"")</f>
        <v>0.653846153846154</v>
      </c>
    </row>
    <row r="350" customFormat="false" ht="15" hidden="false" customHeight="false" outlineLevel="0" collapsed="false">
      <c r="A350" s="2" t="n">
        <v>349</v>
      </c>
      <c r="B350" s="2" t="s">
        <v>40</v>
      </c>
      <c r="C350" s="2" t="s">
        <v>33</v>
      </c>
      <c r="D350" s="2" t="n">
        <f aca="false">'MJLI 19'!C11</f>
        <v>26333</v>
      </c>
      <c r="E350" s="2" t="str">
        <f aca="false">'MJLI 19'!B11</f>
        <v>MOHAMMAD ALIF🟢</v>
      </c>
      <c r="F350" s="2" t="str">
        <f aca="false">'MJLI 19'!D11</f>
        <v>01979-136202</v>
      </c>
      <c r="G350" s="2" t="str">
        <f aca="false">'MJLI 19'!E11</f>
        <v>01722-136202</v>
      </c>
      <c r="H350" s="2" t="n">
        <f aca="false">IFERROR(INDEX(ATT_DATA!$D$2:$D$231,MATCH($B350&amp;"||"&amp;$D350,ATT_DATA!$G$2:$G$231,0)),"")</f>
        <v>18</v>
      </c>
      <c r="I350" s="2" t="n">
        <f aca="false">IFERROR(INDEX(ATT_DATA!$E$2:$E$231,MATCH($B350&amp;"||"&amp;$D350,ATT_DATA!$G$2:$G$231,0)),"")</f>
        <v>4</v>
      </c>
      <c r="J350" s="2" t="n">
        <f aca="false">IFERROR(INDEX(ATT_DATA!$F$2:$F$231,MATCH($B350&amp;"||"&amp;$D350,ATT_DATA!$G$2:$G$231,0)),"")</f>
        <v>0</v>
      </c>
      <c r="K350" s="2" t="n">
        <f aca="false">IF(OR(H350="",ISNUMBER(H350)=FALSE()),"",H350+I350+J350)</f>
        <v>22</v>
      </c>
      <c r="L350" s="3" t="n">
        <f aca="false">IFERROR(H350/K350,"")</f>
        <v>0.818181818181818</v>
      </c>
    </row>
    <row r="351" customFormat="false" ht="15" hidden="false" customHeight="false" outlineLevel="0" collapsed="false">
      <c r="A351" s="2" t="n">
        <v>350</v>
      </c>
      <c r="B351" s="2" t="s">
        <v>40</v>
      </c>
      <c r="C351" s="2" t="s">
        <v>33</v>
      </c>
      <c r="D351" s="2" t="n">
        <f aca="false">'MJLI 19'!C12</f>
        <v>26337</v>
      </c>
      <c r="E351" s="2" t="str">
        <f aca="false">'MJLI 19'!B12</f>
        <v>AL-RAFI ISHMUM MRIDHA🟢</v>
      </c>
      <c r="F351" s="2" t="str">
        <f aca="false">'MJLI 19'!D12</f>
        <v>01756-716750</v>
      </c>
      <c r="G351" s="2" t="str">
        <f aca="false">'MJLI 19'!E12</f>
        <v>01731-512389</v>
      </c>
      <c r="H351" s="2" t="n">
        <f aca="false">IFERROR(INDEX(ATT_DATA!$D$2:$D$231,MATCH($B351&amp;"||"&amp;$D351,ATT_DATA!$G$2:$G$231,0)),"")</f>
        <v>15</v>
      </c>
      <c r="I351" s="2" t="n">
        <f aca="false">IFERROR(INDEX(ATT_DATA!$E$2:$E$231,MATCH($B351&amp;"||"&amp;$D351,ATT_DATA!$G$2:$G$231,0)),"")</f>
        <v>5</v>
      </c>
      <c r="J351" s="2" t="n">
        <f aca="false">IFERROR(INDEX(ATT_DATA!$F$2:$F$231,MATCH($B351&amp;"||"&amp;$D351,ATT_DATA!$G$2:$G$231,0)),"")</f>
        <v>0</v>
      </c>
      <c r="K351" s="2" t="n">
        <f aca="false">IF(OR(H351="",ISNUMBER(H351)=FALSE()),"",H351+I351+J351)</f>
        <v>20</v>
      </c>
      <c r="L351" s="3" t="n">
        <f aca="false">IFERROR(H351/K351,"")</f>
        <v>0.75</v>
      </c>
    </row>
    <row r="352" customFormat="false" ht="15" hidden="false" customHeight="false" outlineLevel="0" collapsed="false">
      <c r="A352" s="2" t="n">
        <v>351</v>
      </c>
      <c r="B352" s="2" t="s">
        <v>40</v>
      </c>
      <c r="C352" s="2" t="s">
        <v>33</v>
      </c>
      <c r="D352" s="2" t="n">
        <f aca="false">'MJLI 19'!C13</f>
        <v>26338</v>
      </c>
      <c r="E352" s="2" t="str">
        <f aca="false">'MJLI 19'!B13</f>
        <v>MEHEDI AREFIN🟢</v>
      </c>
      <c r="F352" s="2" t="str">
        <f aca="false">'MJLI 19'!D13</f>
        <v>01648-361125</v>
      </c>
      <c r="G352" s="2" t="n">
        <f aca="false">'MJLI 19'!E13</f>
        <v>0</v>
      </c>
      <c r="H352" s="2" t="n">
        <f aca="false">IFERROR(INDEX(ATT_DATA!$D$2:$D$231,MATCH($B352&amp;"||"&amp;$D352,ATT_DATA!$G$2:$G$231,0)),"")</f>
        <v>10</v>
      </c>
      <c r="I352" s="2" t="n">
        <f aca="false">IFERROR(INDEX(ATT_DATA!$E$2:$E$231,MATCH($B352&amp;"||"&amp;$D352,ATT_DATA!$G$2:$G$231,0)),"")</f>
        <v>6</v>
      </c>
      <c r="J352" s="2" t="n">
        <f aca="false">IFERROR(INDEX(ATT_DATA!$F$2:$F$231,MATCH($B352&amp;"||"&amp;$D352,ATT_DATA!$G$2:$G$231,0)),"")</f>
        <v>1</v>
      </c>
      <c r="K352" s="2" t="n">
        <f aca="false">IF(OR(H352="",ISNUMBER(H352)=FALSE()),"",H352+I352+J352)</f>
        <v>17</v>
      </c>
      <c r="L352" s="3" t="n">
        <f aca="false">IFERROR(H352/K352,"")</f>
        <v>0.588235294117647</v>
      </c>
    </row>
    <row r="353" customFormat="false" ht="15" hidden="false" customHeight="false" outlineLevel="0" collapsed="false">
      <c r="A353" s="2" t="n">
        <v>352</v>
      </c>
      <c r="B353" s="2" t="s">
        <v>40</v>
      </c>
      <c r="C353" s="2" t="s">
        <v>33</v>
      </c>
      <c r="D353" s="2" t="n">
        <f aca="false">'MJLI 19'!C14</f>
        <v>26339</v>
      </c>
      <c r="E353" s="2" t="str">
        <f aca="false">'MJLI 19'!B14</f>
        <v>SAHA PORAN MIA🟢</v>
      </c>
      <c r="F353" s="2" t="str">
        <f aca="false">'MJLI 19'!D14</f>
        <v>01777-534005</v>
      </c>
      <c r="G353" s="2" t="str">
        <f aca="false">'MJLI 19'!E14</f>
        <v>01833-6315543</v>
      </c>
      <c r="H353" s="2" t="n">
        <f aca="false">IFERROR(INDEX(ATT_DATA!$D$2:$D$231,MATCH($B353&amp;"||"&amp;$D353,ATT_DATA!$G$2:$G$231,0)),"")</f>
        <v>10</v>
      </c>
      <c r="I353" s="2" t="n">
        <f aca="false">IFERROR(INDEX(ATT_DATA!$E$2:$E$231,MATCH($B353&amp;"||"&amp;$D353,ATT_DATA!$G$2:$G$231,0)),"")</f>
        <v>6</v>
      </c>
      <c r="J353" s="2" t="n">
        <f aca="false">IFERROR(INDEX(ATT_DATA!$F$2:$F$231,MATCH($B353&amp;"||"&amp;$D353,ATT_DATA!$G$2:$G$231,0)),"")</f>
        <v>0</v>
      </c>
      <c r="K353" s="2" t="n">
        <f aca="false">IF(OR(H353="",ISNUMBER(H353)=FALSE()),"",H353+I353+J353)</f>
        <v>16</v>
      </c>
      <c r="L353" s="3" t="n">
        <f aca="false">IFERROR(H353/K353,"")</f>
        <v>0.625</v>
      </c>
    </row>
    <row r="354" customFormat="false" ht="15" hidden="false" customHeight="false" outlineLevel="0" collapsed="false">
      <c r="A354" s="2" t="n">
        <v>353</v>
      </c>
      <c r="B354" s="2" t="s">
        <v>40</v>
      </c>
      <c r="C354" s="2" t="s">
        <v>33</v>
      </c>
      <c r="D354" s="2" t="n">
        <f aca="false">'MJLI 19'!C15</f>
        <v>26315</v>
      </c>
      <c r="E354" s="2" t="str">
        <f aca="false">'MJLI 19'!B15</f>
        <v>ATAUR RAHMAN PATOARY🟢</v>
      </c>
      <c r="F354" s="2" t="str">
        <f aca="false">'MJLI 19'!D15</f>
        <v>01837-356535</v>
      </c>
      <c r="G354" s="2" t="str">
        <f aca="false">'MJLI 19'!E15</f>
        <v>01685-205009</v>
      </c>
      <c r="H354" s="2" t="n">
        <f aca="false">IFERROR(INDEX(ATT_DATA!$D$2:$D$231,MATCH($B354&amp;"||"&amp;$D354,ATT_DATA!$G$2:$G$231,0)),"")</f>
        <v>5</v>
      </c>
      <c r="I354" s="2" t="n">
        <f aca="false">IFERROR(INDEX(ATT_DATA!$E$2:$E$231,MATCH($B354&amp;"||"&amp;$D354,ATT_DATA!$G$2:$G$231,0)),"")</f>
        <v>4</v>
      </c>
      <c r="J354" s="2" t="n">
        <f aca="false">IFERROR(INDEX(ATT_DATA!$F$2:$F$231,MATCH($B354&amp;"||"&amp;$D354,ATT_DATA!$G$2:$G$231,0)),"")</f>
        <v>0</v>
      </c>
      <c r="K354" s="2" t="n">
        <f aca="false">IF(OR(H354="",ISNUMBER(H354)=FALSE()),"",H354+I354+J354)</f>
        <v>9</v>
      </c>
      <c r="L354" s="3" t="n">
        <f aca="false">IFERROR(H354/K354,"")</f>
        <v>0.555555555555556</v>
      </c>
    </row>
    <row r="355" customFormat="false" ht="15" hidden="false" customHeight="false" outlineLevel="0" collapsed="false">
      <c r="A355" s="2" t="n">
        <v>354</v>
      </c>
      <c r="B355" s="2" t="s">
        <v>41</v>
      </c>
      <c r="C355" s="2" t="s">
        <v>33</v>
      </c>
      <c r="D355" s="2" t="n">
        <f aca="false">'MJLI 20'!C4</f>
        <v>26340</v>
      </c>
      <c r="E355" s="2" t="str">
        <f aca="false">'MJLI 20'!B4</f>
        <v>MD. KAWSAR HOSSAIN</v>
      </c>
      <c r="F355" s="2" t="str">
        <f aca="false">'MJLI 20'!D4</f>
        <v>01796-507991</v>
      </c>
      <c r="G355" s="2" t="str">
        <f aca="false">'MJLI 20'!E4</f>
        <v>01329-283916</v>
      </c>
      <c r="H355" s="2" t="n">
        <f aca="false">IFERROR(INDEX(ATT_DATA!$D$2:$D$231,MATCH($B355&amp;"||"&amp;$D355,ATT_DATA!$G$2:$G$231,0)),"")</f>
        <v>5</v>
      </c>
      <c r="I355" s="2" t="n">
        <f aca="false">IFERROR(INDEX(ATT_DATA!$E$2:$E$231,MATCH($B355&amp;"||"&amp;$D355,ATT_DATA!$G$2:$G$231,0)),"")</f>
        <v>0</v>
      </c>
      <c r="J355" s="2" t="n">
        <f aca="false">IFERROR(INDEX(ATT_DATA!$F$2:$F$231,MATCH($B355&amp;"||"&amp;$D355,ATT_DATA!$G$2:$G$231,0)),"")</f>
        <v>0</v>
      </c>
      <c r="K355" s="2" t="n">
        <f aca="false">IF(OR(H355="",ISNUMBER(H355)=FALSE()),"",H355+I355+J355)</f>
        <v>5</v>
      </c>
      <c r="L355" s="3" t="n">
        <f aca="false">IFERROR(H355/K355,"")</f>
        <v>1</v>
      </c>
    </row>
    <row r="356" customFormat="false" ht="15" hidden="false" customHeight="false" outlineLevel="0" collapsed="false">
      <c r="A356" s="2" t="n">
        <v>355</v>
      </c>
      <c r="B356" s="2" t="s">
        <v>41</v>
      </c>
      <c r="C356" s="2" t="s">
        <v>33</v>
      </c>
      <c r="D356" s="2" t="n">
        <f aca="false">'MJLI 20'!C5</f>
        <v>26341</v>
      </c>
      <c r="E356" s="2" t="str">
        <f aca="false">'MJLI 20'!B5</f>
        <v>SIAM RAHMAN</v>
      </c>
      <c r="F356" s="2" t="str">
        <f aca="false">'MJLI 20'!D5</f>
        <v>01991-302932</v>
      </c>
      <c r="G356" s="2" t="str">
        <f aca="false">'MJLI 20'!E5</f>
        <v>01410-302966</v>
      </c>
      <c r="H356" s="2" t="n">
        <f aca="false">IFERROR(INDEX(ATT_DATA!$D$2:$D$231,MATCH($B356&amp;"||"&amp;$D356,ATT_DATA!$G$2:$G$231,0)),"")</f>
        <v>5</v>
      </c>
      <c r="I356" s="2" t="n">
        <f aca="false">IFERROR(INDEX(ATT_DATA!$E$2:$E$231,MATCH($B356&amp;"||"&amp;$D356,ATT_DATA!$G$2:$G$231,0)),"")</f>
        <v>0</v>
      </c>
      <c r="J356" s="2" t="n">
        <f aca="false">IFERROR(INDEX(ATT_DATA!$F$2:$F$231,MATCH($B356&amp;"||"&amp;$D356,ATT_DATA!$G$2:$G$231,0)),"")</f>
        <v>0</v>
      </c>
      <c r="K356" s="2" t="n">
        <f aca="false">IF(OR(H356="",ISNUMBER(H356)=FALSE()),"",H356+I356+J356)</f>
        <v>5</v>
      </c>
      <c r="L356" s="3" t="n">
        <f aca="false">IFERROR(H356/K356,"")</f>
        <v>1</v>
      </c>
    </row>
    <row r="357" customFormat="false" ht="15" hidden="false" customHeight="false" outlineLevel="0" collapsed="false">
      <c r="A357" s="2" t="n">
        <v>356</v>
      </c>
      <c r="B357" s="2" t="s">
        <v>41</v>
      </c>
      <c r="C357" s="2" t="s">
        <v>33</v>
      </c>
      <c r="D357" s="2" t="n">
        <f aca="false">'MJLI 20'!C6</f>
        <v>26344</v>
      </c>
      <c r="E357" s="2" t="str">
        <f aca="false">'MJLI 20'!B6</f>
        <v>ALIDE HOSSAIN SIFAT</v>
      </c>
      <c r="F357" s="2" t="str">
        <f aca="false">'MJLI 20'!D6</f>
        <v>01816-768614</v>
      </c>
      <c r="G357" s="2" t="str">
        <f aca="false">'MJLI 20'!E6</f>
        <v>01681-082163</v>
      </c>
      <c r="H357" s="2" t="n">
        <f aca="false">IFERROR(INDEX(ATT_DATA!$D$2:$D$231,MATCH($B357&amp;"||"&amp;$D357,ATT_DATA!$G$2:$G$231,0)),"")</f>
        <v>5</v>
      </c>
      <c r="I357" s="2" t="n">
        <f aca="false">IFERROR(INDEX(ATT_DATA!$E$2:$E$231,MATCH($B357&amp;"||"&amp;$D357,ATT_DATA!$G$2:$G$231,0)),"")</f>
        <v>0</v>
      </c>
      <c r="J357" s="2" t="n">
        <f aca="false">IFERROR(INDEX(ATT_DATA!$F$2:$F$231,MATCH($B357&amp;"||"&amp;$D357,ATT_DATA!$G$2:$G$231,0)),"")</f>
        <v>0</v>
      </c>
      <c r="K357" s="2" t="n">
        <f aca="false">IF(OR(H357="",ISNUMBER(H357)=FALSE()),"",H357+I357+J357)</f>
        <v>5</v>
      </c>
      <c r="L357" s="3" t="n">
        <f aca="false">IFERROR(H357/K357,"")</f>
        <v>1</v>
      </c>
    </row>
    <row r="358" customFormat="false" ht="15" hidden="false" customHeight="false" outlineLevel="0" collapsed="false">
      <c r="A358" s="2" t="n">
        <v>357</v>
      </c>
      <c r="B358" s="2" t="s">
        <v>41</v>
      </c>
      <c r="C358" s="2" t="s">
        <v>33</v>
      </c>
      <c r="D358" s="2" t="n">
        <f aca="false">'MJLI 20'!C7</f>
        <v>26349</v>
      </c>
      <c r="E358" s="2" t="str">
        <f aca="false">'MJLI 20'!B7</f>
        <v>MST MAHIYA</v>
      </c>
      <c r="F358" s="2" t="str">
        <f aca="false">'MJLI 20'!D7</f>
        <v>01936-315226</v>
      </c>
      <c r="G358" s="2" t="str">
        <f aca="false">'MJLI 20'!E7</f>
        <v>01934-394311</v>
      </c>
      <c r="H358" s="2" t="n">
        <f aca="false">IFERROR(INDEX(ATT_DATA!$D$2:$D$231,MATCH($B358&amp;"||"&amp;$D358,ATT_DATA!$G$2:$G$231,0)),"")</f>
        <v>5</v>
      </c>
      <c r="I358" s="2" t="n">
        <f aca="false">IFERROR(INDEX(ATT_DATA!$E$2:$E$231,MATCH($B358&amp;"||"&amp;$D358,ATT_DATA!$G$2:$G$231,0)),"")</f>
        <v>0</v>
      </c>
      <c r="J358" s="2" t="n">
        <f aca="false">IFERROR(INDEX(ATT_DATA!$F$2:$F$231,MATCH($B358&amp;"||"&amp;$D358,ATT_DATA!$G$2:$G$231,0)),"")</f>
        <v>0</v>
      </c>
      <c r="K358" s="2" t="n">
        <f aca="false">IF(OR(H358="",ISNUMBER(H358)=FALSE()),"",H358+I358+J358)</f>
        <v>5</v>
      </c>
      <c r="L358" s="3" t="n">
        <f aca="false">IFERROR(H358/K358,"")</f>
        <v>1</v>
      </c>
    </row>
    <row r="359" customFormat="false" ht="15" hidden="false" customHeight="false" outlineLevel="0" collapsed="false">
      <c r="A359" s="2" t="n">
        <v>358</v>
      </c>
      <c r="B359" s="2" t="s">
        <v>41</v>
      </c>
      <c r="C359" s="2" t="s">
        <v>33</v>
      </c>
      <c r="D359" s="2" t="n">
        <f aca="false">'MJLI 20'!C8</f>
        <v>25210</v>
      </c>
      <c r="E359" s="2" t="str">
        <f aca="false">'MJLI 20'!B8</f>
        <v>RUBAYA SULTANA RUMANA</v>
      </c>
      <c r="F359" s="2" t="str">
        <f aca="false">'MJLI 20'!D8</f>
        <v>01760-877543</v>
      </c>
      <c r="G359" s="2" t="str">
        <f aca="false">'MJLI 20'!E8</f>
        <v>01733-716077</v>
      </c>
      <c r="H359" s="2" t="n">
        <f aca="false">IFERROR(INDEX(ATT_DATA!$D$2:$D$231,MATCH($B359&amp;"||"&amp;$D359,ATT_DATA!$G$2:$G$231,0)),"")</f>
        <v>5</v>
      </c>
      <c r="I359" s="2" t="n">
        <f aca="false">IFERROR(INDEX(ATT_DATA!$E$2:$E$231,MATCH($B359&amp;"||"&amp;$D359,ATT_DATA!$G$2:$G$231,0)),"")</f>
        <v>0</v>
      </c>
      <c r="J359" s="2" t="n">
        <f aca="false">IFERROR(INDEX(ATT_DATA!$F$2:$F$231,MATCH($B359&amp;"||"&amp;$D359,ATT_DATA!$G$2:$G$231,0)),"")</f>
        <v>0</v>
      </c>
      <c r="K359" s="2" t="n">
        <f aca="false">IF(OR(H359="",ISNUMBER(H359)=FALSE()),"",H359+I359+J359)</f>
        <v>5</v>
      </c>
      <c r="L359" s="3" t="n">
        <f aca="false">IFERROR(H359/K359,"")</f>
        <v>1</v>
      </c>
    </row>
    <row r="360" customFormat="false" ht="15" hidden="false" customHeight="false" outlineLevel="0" collapsed="false">
      <c r="A360" s="2" t="n">
        <v>359</v>
      </c>
      <c r="B360" s="2" t="s">
        <v>41</v>
      </c>
      <c r="C360" s="2" t="s">
        <v>33</v>
      </c>
      <c r="D360" s="2" t="n">
        <f aca="false">'MJLI 20'!C9</f>
        <v>26347</v>
      </c>
      <c r="E360" s="2" t="str">
        <f aca="false">'MJLI 20'!B9</f>
        <v>TAIF ISLAM SIAM</v>
      </c>
      <c r="F360" s="2" t="str">
        <f aca="false">'MJLI 20'!D9</f>
        <v>01314-911278</v>
      </c>
      <c r="G360" s="2" t="str">
        <f aca="false">'MJLI 20'!E9</f>
        <v>01922-541951</v>
      </c>
      <c r="H360" s="2" t="n">
        <f aca="false">IFERROR(INDEX(ATT_DATA!$D$2:$D$231,MATCH($B360&amp;"||"&amp;$D360,ATT_DATA!$G$2:$G$231,0)),"")</f>
        <v>5</v>
      </c>
      <c r="I360" s="2" t="n">
        <f aca="false">IFERROR(INDEX(ATT_DATA!$E$2:$E$231,MATCH($B360&amp;"||"&amp;$D360,ATT_DATA!$G$2:$G$231,0)),"")</f>
        <v>0</v>
      </c>
      <c r="J360" s="2" t="n">
        <f aca="false">IFERROR(INDEX(ATT_DATA!$F$2:$F$231,MATCH($B360&amp;"||"&amp;$D360,ATT_DATA!$G$2:$G$231,0)),"")</f>
        <v>0</v>
      </c>
      <c r="K360" s="2" t="n">
        <f aca="false">IF(OR(H360="",ISNUMBER(H360)=FALSE()),"",H360+I360+J360)</f>
        <v>5</v>
      </c>
      <c r="L360" s="3" t="n">
        <f aca="false">IFERROR(H360/K360,"")</f>
        <v>1</v>
      </c>
    </row>
    <row r="361" customFormat="false" ht="15" hidden="false" customHeight="false" outlineLevel="0" collapsed="false">
      <c r="A361" s="2" t="n">
        <v>360</v>
      </c>
      <c r="B361" s="2" t="s">
        <v>41</v>
      </c>
      <c r="C361" s="2" t="s">
        <v>33</v>
      </c>
      <c r="D361" s="2" t="n">
        <f aca="false">'MJLI 20'!C10</f>
        <v>26352</v>
      </c>
      <c r="E361" s="2" t="str">
        <f aca="false">'MJLI 20'!B10</f>
        <v>RIFAT </v>
      </c>
      <c r="F361" s="2" t="str">
        <f aca="false">'MJLI 20'!D10</f>
        <v>01872-728930</v>
      </c>
      <c r="G361" s="2" t="str">
        <f aca="false">'MJLI 20'!E10</f>
        <v>01712-919767</v>
      </c>
      <c r="H361" s="2" t="n">
        <f aca="false">IFERROR(INDEX(ATT_DATA!$D$2:$D$231,MATCH($B361&amp;"||"&amp;$D361,ATT_DATA!$G$2:$G$231,0)),"")</f>
        <v>5</v>
      </c>
      <c r="I361" s="2" t="n">
        <f aca="false">IFERROR(INDEX(ATT_DATA!$E$2:$E$231,MATCH($B361&amp;"||"&amp;$D361,ATT_DATA!$G$2:$G$231,0)),"")</f>
        <v>0</v>
      </c>
      <c r="J361" s="2" t="n">
        <f aca="false">IFERROR(INDEX(ATT_DATA!$F$2:$F$231,MATCH($B361&amp;"||"&amp;$D361,ATT_DATA!$G$2:$G$231,0)),"")</f>
        <v>0</v>
      </c>
      <c r="K361" s="2" t="n">
        <f aca="false">IF(OR(H361="",ISNUMBER(H361)=FALSE()),"",H361+I361+J361)</f>
        <v>5</v>
      </c>
      <c r="L361" s="3" t="n">
        <f aca="false">IFERROR(H361/K361,"")</f>
        <v>1</v>
      </c>
    </row>
    <row r="362" customFormat="false" ht="15" hidden="false" customHeight="false" outlineLevel="0" collapsed="false">
      <c r="A362" s="2" t="n">
        <v>361</v>
      </c>
      <c r="B362" s="2" t="s">
        <v>41</v>
      </c>
      <c r="C362" s="2" t="s">
        <v>33</v>
      </c>
      <c r="D362" s="2" t="n">
        <f aca="false">'MJLI 20'!C11</f>
        <v>26353</v>
      </c>
      <c r="E362" s="2" t="str">
        <f aca="false">'MJLI 20'!B11</f>
        <v>MD SAYEM AHMED</v>
      </c>
      <c r="F362" s="2" t="str">
        <f aca="false">'MJLI 20'!D11</f>
        <v>01814-676360</v>
      </c>
      <c r="G362" s="2" t="str">
        <f aca="false">'MJLI 20'!E11</f>
        <v>01920-763924</v>
      </c>
      <c r="H362" s="2" t="n">
        <f aca="false">IFERROR(INDEX(ATT_DATA!$D$2:$D$231,MATCH($B362&amp;"||"&amp;$D362,ATT_DATA!$G$2:$G$231,0)),"")</f>
        <v>5</v>
      </c>
      <c r="I362" s="2" t="n">
        <f aca="false">IFERROR(INDEX(ATT_DATA!$E$2:$E$231,MATCH($B362&amp;"||"&amp;$D362,ATT_DATA!$G$2:$G$231,0)),"")</f>
        <v>0</v>
      </c>
      <c r="J362" s="2" t="n">
        <f aca="false">IFERROR(INDEX(ATT_DATA!$F$2:$F$231,MATCH($B362&amp;"||"&amp;$D362,ATT_DATA!$G$2:$G$231,0)),"")</f>
        <v>0</v>
      </c>
      <c r="K362" s="2" t="n">
        <f aca="false">IF(OR(H362="",ISNUMBER(H362)=FALSE()),"",H362+I362+J362)</f>
        <v>5</v>
      </c>
      <c r="L362" s="3" t="n">
        <f aca="false">IFERROR(H362/K362,"")</f>
        <v>1</v>
      </c>
    </row>
    <row r="363" customFormat="false" ht="15" hidden="false" customHeight="false" outlineLevel="0" collapsed="false">
      <c r="A363" s="2" t="n">
        <v>362</v>
      </c>
      <c r="B363" s="2" t="s">
        <v>41</v>
      </c>
      <c r="C363" s="2" t="s">
        <v>33</v>
      </c>
      <c r="D363" s="2" t="n">
        <f aca="false">'MJLI 20'!C12</f>
        <v>26358</v>
      </c>
      <c r="E363" s="2" t="str">
        <f aca="false">'MJLI 20'!B12</f>
        <v>INSAN HOSSEN EMON</v>
      </c>
      <c r="F363" s="2" t="str">
        <f aca="false">'MJLI 20'!D12</f>
        <v>01708-572625</v>
      </c>
      <c r="G363" s="2" t="str">
        <f aca="false">'MJLI 20'!E12</f>
        <v>01735-999534</v>
      </c>
      <c r="H363" s="2" t="n">
        <f aca="false">IFERROR(INDEX(ATT_DATA!$D$2:$D$231,MATCH($B363&amp;"||"&amp;$D363,ATT_DATA!$G$2:$G$231,0)),"")</f>
        <v>5</v>
      </c>
      <c r="I363" s="2" t="n">
        <f aca="false">IFERROR(INDEX(ATT_DATA!$E$2:$E$231,MATCH($B363&amp;"||"&amp;$D363,ATT_DATA!$G$2:$G$231,0)),"")</f>
        <v>0</v>
      </c>
      <c r="J363" s="2" t="n">
        <f aca="false">IFERROR(INDEX(ATT_DATA!$F$2:$F$231,MATCH($B363&amp;"||"&amp;$D363,ATT_DATA!$G$2:$G$231,0)),"")</f>
        <v>0</v>
      </c>
      <c r="K363" s="2" t="n">
        <f aca="false">IF(OR(H363="",ISNUMBER(H363)=FALSE()),"",H363+I363+J363)</f>
        <v>5</v>
      </c>
      <c r="L363" s="3" t="n">
        <f aca="false">IFERROR(H363/K363,"")</f>
        <v>1</v>
      </c>
    </row>
    <row r="364" customFormat="false" ht="15" hidden="false" customHeight="false" outlineLevel="0" collapsed="false">
      <c r="A364" s="2" t="n">
        <v>363</v>
      </c>
      <c r="B364" s="2" t="s">
        <v>41</v>
      </c>
      <c r="C364" s="2" t="s">
        <v>33</v>
      </c>
      <c r="D364" s="2" t="n">
        <f aca="false">'MJLI 20'!C13</f>
        <v>26357</v>
      </c>
      <c r="E364" s="2" t="str">
        <f aca="false">'MJLI 20'!B13</f>
        <v>MAHMUDA RAHAMAN RIDITA</v>
      </c>
      <c r="F364" s="2" t="str">
        <f aca="false">'MJLI 20'!D13</f>
        <v>01401-562238</v>
      </c>
      <c r="G364" s="2" t="str">
        <f aca="false">'MJLI 20'!E13</f>
        <v>01978-303590</v>
      </c>
      <c r="H364" s="2" t="n">
        <f aca="false">IFERROR(INDEX(ATT_DATA!$D$2:$D$231,MATCH($B364&amp;"||"&amp;$D364,ATT_DATA!$G$2:$G$231,0)),"")</f>
        <v>5</v>
      </c>
      <c r="I364" s="2" t="n">
        <f aca="false">IFERROR(INDEX(ATT_DATA!$E$2:$E$231,MATCH($B364&amp;"||"&amp;$D364,ATT_DATA!$G$2:$G$231,0)),"")</f>
        <v>0</v>
      </c>
      <c r="J364" s="2" t="n">
        <f aca="false">IFERROR(INDEX(ATT_DATA!$F$2:$F$231,MATCH($B364&amp;"||"&amp;$D364,ATT_DATA!$G$2:$G$231,0)),"")</f>
        <v>0</v>
      </c>
      <c r="K364" s="2" t="n">
        <f aca="false">IF(OR(H364="",ISNUMBER(H364)=FALSE()),"",H364+I364+J364)</f>
        <v>5</v>
      </c>
      <c r="L364" s="3" t="n">
        <f aca="false">IFERROR(H364/K364,"")</f>
        <v>1</v>
      </c>
    </row>
    <row r="365" customFormat="false" ht="15" hidden="false" customHeight="false" outlineLevel="0" collapsed="false">
      <c r="A365" s="2" t="n">
        <v>364</v>
      </c>
      <c r="B365" s="2" t="s">
        <v>41</v>
      </c>
      <c r="C365" s="2" t="s">
        <v>33</v>
      </c>
      <c r="D365" s="2" t="n">
        <f aca="false">'MJLI 20'!C14</f>
        <v>0</v>
      </c>
      <c r="E365" s="2" t="str">
        <f aca="false">'MJLI 20'!B14</f>
        <v>MD SOHAN</v>
      </c>
      <c r="F365" s="2" t="str">
        <f aca="false">'MJLI 20'!D14</f>
        <v>01307-281490</v>
      </c>
      <c r="G365" s="2" t="str">
        <f aca="false">'MJLI 20'!E14</f>
        <v>01944-207301</v>
      </c>
      <c r="H365" s="2" t="str">
        <f aca="false">IFERROR(INDEX(ATT_DATA!$D$2:$D$231,MATCH($B365&amp;"||"&amp;$D365,ATT_DATA!$G$2:$G$231,0)),"")</f>
        <v/>
      </c>
      <c r="I365" s="2" t="str">
        <f aca="false">IFERROR(INDEX(ATT_DATA!$E$2:$E$231,MATCH($B365&amp;"||"&amp;$D365,ATT_DATA!$G$2:$G$231,0)),"")</f>
        <v/>
      </c>
      <c r="J365" s="2" t="str">
        <f aca="false">IFERROR(INDEX(ATT_DATA!$F$2:$F$231,MATCH($B365&amp;"||"&amp;$D365,ATT_DATA!$G$2:$G$231,0)),"")</f>
        <v/>
      </c>
      <c r="K365" s="2" t="str">
        <f aca="false">IF(OR(H365="",ISNUMBER(H365)=FALSE()),"",H365+I365+J365)</f>
        <v/>
      </c>
      <c r="L365" s="3" t="str">
        <f aca="false">IFERROR(H365/K365,"")</f>
        <v/>
      </c>
    </row>
    <row r="366" customFormat="false" ht="15" hidden="false" customHeight="false" outlineLevel="0" collapsed="false">
      <c r="A366" s="2" t="n">
        <v>365</v>
      </c>
      <c r="B366" s="2" t="s">
        <v>41</v>
      </c>
      <c r="C366" s="2" t="s">
        <v>33</v>
      </c>
      <c r="D366" s="2" t="n">
        <f aca="false">'MJLI 20'!C15</f>
        <v>26364</v>
      </c>
      <c r="E366" s="2" t="str">
        <f aca="false">'MJLI 20'!B15</f>
        <v>MD JUBAEAR</v>
      </c>
      <c r="F366" s="2" t="str">
        <f aca="false">'MJLI 20'!D15</f>
        <v>01898-905839</v>
      </c>
      <c r="G366" s="2" t="str">
        <f aca="false">'MJLI 20'!E15</f>
        <v>01670-446693</v>
      </c>
      <c r="H366" s="2" t="n">
        <f aca="false">IFERROR(INDEX(ATT_DATA!$D$2:$D$231,MATCH($B366&amp;"||"&amp;$D366,ATT_DATA!$G$2:$G$231,0)),"")</f>
        <v>5</v>
      </c>
      <c r="I366" s="2" t="n">
        <f aca="false">IFERROR(INDEX(ATT_DATA!$E$2:$E$231,MATCH($B366&amp;"||"&amp;$D366,ATT_DATA!$G$2:$G$231,0)),"")</f>
        <v>0</v>
      </c>
      <c r="J366" s="2" t="n">
        <f aca="false">IFERROR(INDEX(ATT_DATA!$F$2:$F$231,MATCH($B366&amp;"||"&amp;$D366,ATT_DATA!$G$2:$G$231,0)),"")</f>
        <v>0</v>
      </c>
      <c r="K366" s="2" t="n">
        <f aca="false">IF(OR(H366="",ISNUMBER(H366)=FALSE()),"",H366+I366+J366)</f>
        <v>5</v>
      </c>
      <c r="L366" s="3" t="n">
        <f aca="false">IFERROR(H366/K366,"")</f>
        <v>1</v>
      </c>
    </row>
    <row r="367" customFormat="false" ht="15" hidden="false" customHeight="false" outlineLevel="0" collapsed="false">
      <c r="A367" s="2" t="n">
        <v>366</v>
      </c>
      <c r="B367" s="2" t="s">
        <v>41</v>
      </c>
      <c r="C367" s="2" t="s">
        <v>33</v>
      </c>
      <c r="D367" s="2" t="n">
        <f aca="false">'MJLI 20'!C16</f>
        <v>26365</v>
      </c>
      <c r="E367" s="2" t="str">
        <f aca="false">'MJLI 20'!B16</f>
        <v>MD JUNAED </v>
      </c>
      <c r="F367" s="2" t="str">
        <f aca="false">'MJLI 20'!D16</f>
        <v>01898-905869</v>
      </c>
      <c r="G367" s="2" t="str">
        <f aca="false">'MJLI 20'!E16</f>
        <v>01670-446693</v>
      </c>
      <c r="H367" s="2" t="n">
        <f aca="false">IFERROR(INDEX(ATT_DATA!$D$2:$D$231,MATCH($B367&amp;"||"&amp;$D367,ATT_DATA!$G$2:$G$231,0)),"")</f>
        <v>5</v>
      </c>
      <c r="I367" s="2" t="n">
        <f aca="false">IFERROR(INDEX(ATT_DATA!$E$2:$E$231,MATCH($B367&amp;"||"&amp;$D367,ATT_DATA!$G$2:$G$231,0)),"")</f>
        <v>0</v>
      </c>
      <c r="J367" s="2" t="n">
        <f aca="false">IFERROR(INDEX(ATT_DATA!$F$2:$F$231,MATCH($B367&amp;"||"&amp;$D367,ATT_DATA!$G$2:$G$231,0)),"")</f>
        <v>0</v>
      </c>
      <c r="K367" s="2" t="n">
        <f aca="false">IF(OR(H367="",ISNUMBER(H367)=FALSE()),"",H367+I367+J367)</f>
        <v>5</v>
      </c>
      <c r="L367" s="3" t="n">
        <f aca="false">IFERROR(H367/K367,"")</f>
        <v>1</v>
      </c>
    </row>
    <row r="368" customFormat="false" ht="15" hidden="false" customHeight="false" outlineLevel="0" collapsed="false">
      <c r="A368" s="2" t="n">
        <v>367</v>
      </c>
      <c r="B368" s="2" t="s">
        <v>41</v>
      </c>
      <c r="C368" s="2" t="s">
        <v>33</v>
      </c>
      <c r="D368" s="2" t="n">
        <f aca="false">'MJLI 20'!C17</f>
        <v>0</v>
      </c>
      <c r="E368" s="2" t="str">
        <f aca="false">'MJLI 20'!B17</f>
        <v>MD ZIHAD</v>
      </c>
      <c r="F368" s="2" t="str">
        <f aca="false">'MJLI 20'!D17</f>
        <v>01324-457074</v>
      </c>
      <c r="G368" s="2" t="str">
        <f aca="false">'MJLI 20'!E17</f>
        <v>01334-697826</v>
      </c>
      <c r="H368" s="2" t="str">
        <f aca="false">IFERROR(INDEX(ATT_DATA!$D$2:$D$231,MATCH($B368&amp;"||"&amp;$D368,ATT_DATA!$G$2:$G$231,0)),"")</f>
        <v/>
      </c>
      <c r="I368" s="2" t="str">
        <f aca="false">IFERROR(INDEX(ATT_DATA!$E$2:$E$231,MATCH($B368&amp;"||"&amp;$D368,ATT_DATA!$G$2:$G$231,0)),"")</f>
        <v/>
      </c>
      <c r="J368" s="2" t="str">
        <f aca="false">IFERROR(INDEX(ATT_DATA!$F$2:$F$231,MATCH($B368&amp;"||"&amp;$D368,ATT_DATA!$G$2:$G$231,0)),"")</f>
        <v/>
      </c>
      <c r="K368" s="2" t="str">
        <f aca="false">IF(OR(H368="",ISNUMBER(H368)=FALSE()),"",H368+I368+J368)</f>
        <v/>
      </c>
      <c r="L368" s="3" t="str">
        <f aca="false">IFERROR(H368/K368,"")</f>
        <v/>
      </c>
    </row>
    <row r="369" customFormat="false" ht="15" hidden="false" customHeight="false" outlineLevel="0" collapsed="false">
      <c r="A369" s="2" t="n">
        <v>368</v>
      </c>
      <c r="B369" s="2" t="s">
        <v>41</v>
      </c>
      <c r="C369" s="2" t="s">
        <v>33</v>
      </c>
      <c r="D369" s="2" t="n">
        <f aca="false">'MJLI 20'!C18</f>
        <v>25238</v>
      </c>
      <c r="E369" s="2" t="str">
        <f aca="false">'MJLI 20'!B18</f>
        <v>ROSNI AKTER</v>
      </c>
      <c r="F369" s="2" t="str">
        <f aca="false">'MJLI 20'!D18</f>
        <v>01996-412874</v>
      </c>
      <c r="G369" s="2" t="str">
        <f aca="false">'MJLI 20'!E18</f>
        <v>01796-579940</v>
      </c>
      <c r="H369" s="2" t="n">
        <f aca="false">IFERROR(INDEX(ATT_DATA!$D$2:$D$231,MATCH($B369&amp;"||"&amp;$D369,ATT_DATA!$G$2:$G$231,0)),"")</f>
        <v>5</v>
      </c>
      <c r="I369" s="2" t="n">
        <f aca="false">IFERROR(INDEX(ATT_DATA!$E$2:$E$231,MATCH($B369&amp;"||"&amp;$D369,ATT_DATA!$G$2:$G$231,0)),"")</f>
        <v>0</v>
      </c>
      <c r="J369" s="2" t="n">
        <f aca="false">IFERROR(INDEX(ATT_DATA!$F$2:$F$231,MATCH($B369&amp;"||"&amp;$D369,ATT_DATA!$G$2:$G$231,0)),"")</f>
        <v>0</v>
      </c>
      <c r="K369" s="2" t="n">
        <f aca="false">IF(OR(H369="",ISNUMBER(H369)=FALSE()),"",H369+I369+J369)</f>
        <v>5</v>
      </c>
      <c r="L369" s="3" t="n">
        <f aca="false">IFERROR(H369/K369,"")</f>
        <v>1</v>
      </c>
    </row>
    <row r="370" customFormat="false" ht="15" hidden="false" customHeight="false" outlineLevel="0" collapsed="false">
      <c r="A370" s="2" t="n">
        <v>369</v>
      </c>
      <c r="B370" s="2" t="s">
        <v>41</v>
      </c>
      <c r="C370" s="2" t="s">
        <v>33</v>
      </c>
      <c r="D370" s="2" t="n">
        <f aca="false">'MJLI 20'!C19</f>
        <v>26359</v>
      </c>
      <c r="E370" s="2" t="str">
        <f aca="false">'MJLI 20'!B19</f>
        <v>ABU TALEB</v>
      </c>
      <c r="F370" s="2" t="str">
        <f aca="false">'MJLI 20'!D19</f>
        <v>01703-740897</v>
      </c>
      <c r="G370" s="2" t="str">
        <f aca="false">'MJLI 20'!E19</f>
        <v>01725-550401</v>
      </c>
      <c r="H370" s="2" t="n">
        <f aca="false">IFERROR(INDEX(ATT_DATA!$D$2:$D$231,MATCH($B370&amp;"||"&amp;$D370,ATT_DATA!$G$2:$G$231,0)),"")</f>
        <v>5</v>
      </c>
      <c r="I370" s="2" t="n">
        <f aca="false">IFERROR(INDEX(ATT_DATA!$E$2:$E$231,MATCH($B370&amp;"||"&amp;$D370,ATT_DATA!$G$2:$G$231,0)),"")</f>
        <v>0</v>
      </c>
      <c r="J370" s="2" t="n">
        <f aca="false">IFERROR(INDEX(ATT_DATA!$F$2:$F$231,MATCH($B370&amp;"||"&amp;$D370,ATT_DATA!$G$2:$G$231,0)),"")</f>
        <v>0</v>
      </c>
      <c r="K370" s="2" t="n">
        <f aca="false">IF(OR(H370="",ISNUMBER(H370)=FALSE()),"",H370+I370+J370)</f>
        <v>5</v>
      </c>
      <c r="L370" s="3" t="n">
        <f aca="false">IFERROR(H370/K370,"")</f>
        <v>1</v>
      </c>
    </row>
    <row r="371" customFormat="false" ht="15" hidden="false" customHeight="false" outlineLevel="0" collapsed="false">
      <c r="A371" s="2" t="n">
        <v>370</v>
      </c>
      <c r="B371" s="2" t="s">
        <v>41</v>
      </c>
      <c r="C371" s="2" t="s">
        <v>33</v>
      </c>
      <c r="D371" s="2" t="n">
        <f aca="false">'MJLI 20'!C20</f>
        <v>26361</v>
      </c>
      <c r="E371" s="2" t="str">
        <f aca="false">'MJLI 20'!B20</f>
        <v>MUJTABA RAFID</v>
      </c>
      <c r="F371" s="2" t="str">
        <f aca="false">'MJLI 20'!D20</f>
        <v>013235-42502</v>
      </c>
      <c r="G371" s="2" t="str">
        <f aca="false">'MJLI 20'!E20</f>
        <v>01630-580088</v>
      </c>
      <c r="H371" s="2" t="n">
        <f aca="false">IFERROR(INDEX(ATT_DATA!$D$2:$D$231,MATCH($B371&amp;"||"&amp;$D371,ATT_DATA!$G$2:$G$231,0)),"")</f>
        <v>5</v>
      </c>
      <c r="I371" s="2" t="n">
        <f aca="false">IFERROR(INDEX(ATT_DATA!$E$2:$E$231,MATCH($B371&amp;"||"&amp;$D371,ATT_DATA!$G$2:$G$231,0)),"")</f>
        <v>0</v>
      </c>
      <c r="J371" s="2" t="n">
        <f aca="false">IFERROR(INDEX(ATT_DATA!$F$2:$F$231,MATCH($B371&amp;"||"&amp;$D371,ATT_DATA!$G$2:$G$231,0)),"")</f>
        <v>0</v>
      </c>
      <c r="K371" s="2" t="n">
        <f aca="false">IF(OR(H371="",ISNUMBER(H371)=FALSE()),"",H371+I371+J371)</f>
        <v>5</v>
      </c>
      <c r="L371" s="3" t="n">
        <f aca="false">IFERROR(H371/K371,"")</f>
        <v>1</v>
      </c>
    </row>
    <row r="372" customFormat="false" ht="15" hidden="false" customHeight="false" outlineLevel="0" collapsed="false">
      <c r="A372" s="2" t="n">
        <v>371</v>
      </c>
      <c r="B372" s="2" t="s">
        <v>41</v>
      </c>
      <c r="C372" s="2" t="s">
        <v>33</v>
      </c>
      <c r="D372" s="2" t="n">
        <f aca="false">'MJLI 20'!C21</f>
        <v>0</v>
      </c>
      <c r="E372" s="2" t="str">
        <f aca="false">'MJLI 20'!B21</f>
        <v>MD RAKIBUL HASSAN RABBI</v>
      </c>
      <c r="F372" s="2" t="str">
        <f aca="false">'MJLI 20'!D21</f>
        <v>01626-706933</v>
      </c>
      <c r="G372" s="2" t="str">
        <f aca="false">'MJLI 20'!E21</f>
        <v>01745-513106</v>
      </c>
      <c r="H372" s="2" t="str">
        <f aca="false">IFERROR(INDEX(ATT_DATA!$D$2:$D$231,MATCH($B372&amp;"||"&amp;$D372,ATT_DATA!$G$2:$G$231,0)),"")</f>
        <v/>
      </c>
      <c r="I372" s="2" t="str">
        <f aca="false">IFERROR(INDEX(ATT_DATA!$E$2:$E$231,MATCH($B372&amp;"||"&amp;$D372,ATT_DATA!$G$2:$G$231,0)),"")</f>
        <v/>
      </c>
      <c r="J372" s="2" t="str">
        <f aca="false">IFERROR(INDEX(ATT_DATA!$F$2:$F$231,MATCH($B372&amp;"||"&amp;$D372,ATT_DATA!$G$2:$G$231,0)),"")</f>
        <v/>
      </c>
      <c r="K372" s="2" t="str">
        <f aca="false">IF(OR(H372="",ISNUMBER(H372)=FALSE()),"",H372+I372+J372)</f>
        <v/>
      </c>
      <c r="L372" s="3" t="str">
        <f aca="false">IFERROR(H372/K372,"")</f>
        <v/>
      </c>
    </row>
    <row r="373" customFormat="false" ht="15" hidden="false" customHeight="false" outlineLevel="0" collapsed="false">
      <c r="A373" s="2" t="n">
        <v>372</v>
      </c>
      <c r="B373" s="2" t="s">
        <v>41</v>
      </c>
      <c r="C373" s="2" t="s">
        <v>33</v>
      </c>
      <c r="D373" s="2" t="n">
        <f aca="false">'MJLI 20'!C22</f>
        <v>26367</v>
      </c>
      <c r="E373" s="2" t="str">
        <f aca="false">'MJLI 20'!B22</f>
        <v>MD RASEL DHALI</v>
      </c>
      <c r="F373" s="2" t="str">
        <f aca="false">'MJLI 20'!D22</f>
        <v>01689-57765</v>
      </c>
      <c r="G373" s="2" t="str">
        <f aca="false">'MJLI 20'!E22</f>
        <v>01689-57765</v>
      </c>
      <c r="H373" s="2" t="n">
        <f aca="false">IFERROR(INDEX(ATT_DATA!$D$2:$D$231,MATCH($B373&amp;"||"&amp;$D373,ATT_DATA!$G$2:$G$231,0)),"")</f>
        <v>4</v>
      </c>
      <c r="I373" s="2" t="n">
        <f aca="false">IFERROR(INDEX(ATT_DATA!$E$2:$E$231,MATCH($B373&amp;"||"&amp;$D373,ATT_DATA!$G$2:$G$231,0)),"")</f>
        <v>1</v>
      </c>
      <c r="J373" s="2" t="n">
        <f aca="false">IFERROR(INDEX(ATT_DATA!$F$2:$F$231,MATCH($B373&amp;"||"&amp;$D373,ATT_DATA!$G$2:$G$231,0)),"")</f>
        <v>0</v>
      </c>
      <c r="K373" s="2" t="n">
        <f aca="false">IF(OR(H373="",ISNUMBER(H373)=FALSE()),"",H373+I373+J373)</f>
        <v>5</v>
      </c>
      <c r="L373" s="3" t="n">
        <f aca="false">IFERROR(H373/K373,"")</f>
        <v>0.8</v>
      </c>
    </row>
    <row r="374" customFormat="false" ht="15" hidden="false" customHeight="false" outlineLevel="0" collapsed="false">
      <c r="A374" s="2" t="n">
        <v>373</v>
      </c>
      <c r="B374" s="2" t="s">
        <v>41</v>
      </c>
      <c r="C374" s="2" t="s">
        <v>33</v>
      </c>
      <c r="D374" s="2" t="n">
        <f aca="false">'MJLI 20'!C23</f>
        <v>26362</v>
      </c>
      <c r="E374" s="2" t="str">
        <f aca="false">'MJLI 20'!B23</f>
        <v>ASIKUR RAHMAN JOY</v>
      </c>
      <c r="F374" s="2" t="str">
        <f aca="false">'MJLI 20'!D23</f>
        <v>01609-885118</v>
      </c>
      <c r="G374" s="2" t="str">
        <f aca="false">'MJLI 20'!E23</f>
        <v>01720-937666</v>
      </c>
      <c r="H374" s="2" t="n">
        <f aca="false">IFERROR(INDEX(ATT_DATA!$D$2:$D$231,MATCH($B374&amp;"||"&amp;$D374,ATT_DATA!$G$2:$G$231,0)),"")</f>
        <v>5</v>
      </c>
      <c r="I374" s="2" t="n">
        <f aca="false">IFERROR(INDEX(ATT_DATA!$E$2:$E$231,MATCH($B374&amp;"||"&amp;$D374,ATT_DATA!$G$2:$G$231,0)),"")</f>
        <v>0</v>
      </c>
      <c r="J374" s="2" t="n">
        <f aca="false">IFERROR(INDEX(ATT_DATA!$F$2:$F$231,MATCH($B374&amp;"||"&amp;$D374,ATT_DATA!$G$2:$G$231,0)),"")</f>
        <v>0</v>
      </c>
      <c r="K374" s="2" t="n">
        <f aca="false">IF(OR(H374="",ISNUMBER(H374)=FALSE()),"",H374+I374+J374)</f>
        <v>5</v>
      </c>
      <c r="L374" s="3" t="n">
        <f aca="false">IFERROR(H374/K374,"")</f>
        <v>1</v>
      </c>
    </row>
    <row r="375" customFormat="false" ht="15" hidden="false" customHeight="false" outlineLevel="0" collapsed="false">
      <c r="A375" s="2" t="n">
        <v>374</v>
      </c>
      <c r="B375" s="2" t="s">
        <v>41</v>
      </c>
      <c r="C375" s="2" t="s">
        <v>33</v>
      </c>
      <c r="D375" s="2" t="n">
        <f aca="false">'MJLI 20'!C24</f>
        <v>26363</v>
      </c>
      <c r="E375" s="2" t="str">
        <f aca="false">'MJLI 20'!B24</f>
        <v>MD SOHAG</v>
      </c>
      <c r="F375" s="2" t="str">
        <f aca="false">'MJLI 20'!D24</f>
        <v>01893-7119133</v>
      </c>
      <c r="G375" s="2" t="str">
        <f aca="false">'MJLI 20'!E24</f>
        <v>01315-918380</v>
      </c>
      <c r="H375" s="2" t="n">
        <f aca="false">IFERROR(INDEX(ATT_DATA!$D$2:$D$231,MATCH($B375&amp;"||"&amp;$D375,ATT_DATA!$G$2:$G$231,0)),"")</f>
        <v>5</v>
      </c>
      <c r="I375" s="2" t="n">
        <f aca="false">IFERROR(INDEX(ATT_DATA!$E$2:$E$231,MATCH($B375&amp;"||"&amp;$D375,ATT_DATA!$G$2:$G$231,0)),"")</f>
        <v>0</v>
      </c>
      <c r="J375" s="2" t="n">
        <f aca="false">IFERROR(INDEX(ATT_DATA!$F$2:$F$231,MATCH($B375&amp;"||"&amp;$D375,ATT_DATA!$G$2:$G$231,0)),"")</f>
        <v>0</v>
      </c>
      <c r="K375" s="2" t="n">
        <f aca="false">IF(OR(H375="",ISNUMBER(H375)=FALSE()),"",H375+I375+J375)</f>
        <v>5</v>
      </c>
      <c r="L375" s="3" t="n">
        <f aca="false">IFERROR(H375/K375,"")</f>
        <v>1</v>
      </c>
    </row>
    <row r="376" customFormat="false" ht="15" hidden="false" customHeight="false" outlineLevel="0" collapsed="false">
      <c r="A376" s="2" t="n">
        <v>375</v>
      </c>
      <c r="B376" s="2" t="s">
        <v>41</v>
      </c>
      <c r="C376" s="2" t="s">
        <v>33</v>
      </c>
      <c r="D376" s="2" t="n">
        <f aca="false">'MJLI 20'!C25</f>
        <v>0</v>
      </c>
      <c r="E376" s="2" t="str">
        <f aca="false">'MJLI 20'!B25</f>
        <v>FATEMA KHATUN MIM</v>
      </c>
      <c r="F376" s="2" t="str">
        <f aca="false">'MJLI 20'!D25</f>
        <v>01935-824657</v>
      </c>
      <c r="G376" s="2" t="str">
        <f aca="false">'MJLI 20'!E25</f>
        <v>01968-943969</v>
      </c>
      <c r="H376" s="2" t="str">
        <f aca="false">IFERROR(INDEX(ATT_DATA!$D$2:$D$231,MATCH($B376&amp;"||"&amp;$D376,ATT_DATA!$G$2:$G$231,0)),"")</f>
        <v/>
      </c>
      <c r="I376" s="2" t="str">
        <f aca="false">IFERROR(INDEX(ATT_DATA!$E$2:$E$231,MATCH($B376&amp;"||"&amp;$D376,ATT_DATA!$G$2:$G$231,0)),"")</f>
        <v/>
      </c>
      <c r="J376" s="2" t="str">
        <f aca="false">IFERROR(INDEX(ATT_DATA!$F$2:$F$231,MATCH($B376&amp;"||"&amp;$D376,ATT_DATA!$G$2:$G$231,0)),"")</f>
        <v/>
      </c>
      <c r="K376" s="2" t="str">
        <f aca="false">IF(OR(H376="",ISNUMBER(H376)=FALSE()),"",H376+I376+J376)</f>
        <v/>
      </c>
      <c r="L376" s="3" t="str">
        <f aca="false">IFERROR(H376/K376,"")</f>
        <v/>
      </c>
    </row>
    <row r="377" customFormat="false" ht="15" hidden="false" customHeight="false" outlineLevel="0" collapsed="false">
      <c r="A377" s="2" t="n">
        <v>376</v>
      </c>
      <c r="B377" s="2" t="s">
        <v>41</v>
      </c>
      <c r="C377" s="2" t="s">
        <v>33</v>
      </c>
      <c r="D377" s="2" t="n">
        <f aca="false">'MJLI 20'!C26</f>
        <v>26368</v>
      </c>
      <c r="E377" s="2" t="str">
        <f aca="false">'MJLI 20'!B26</f>
        <v>SHWIKOT SARKER RUDRA</v>
      </c>
      <c r="F377" s="2" t="str">
        <f aca="false">'MJLI 20'!D26</f>
        <v>01911-246108</v>
      </c>
      <c r="G377" s="2" t="str">
        <f aca="false">'MJLI 20'!E26</f>
        <v>01923-639455</v>
      </c>
      <c r="H377" s="2" t="n">
        <f aca="false">IFERROR(INDEX(ATT_DATA!$D$2:$D$231,MATCH($B377&amp;"||"&amp;$D377,ATT_DATA!$G$2:$G$231,0)),"")</f>
        <v>5</v>
      </c>
      <c r="I377" s="2" t="n">
        <f aca="false">IFERROR(INDEX(ATT_DATA!$E$2:$E$231,MATCH($B377&amp;"||"&amp;$D377,ATT_DATA!$G$2:$G$231,0)),"")</f>
        <v>0</v>
      </c>
      <c r="J377" s="2" t="n">
        <f aca="false">IFERROR(INDEX(ATT_DATA!$F$2:$F$231,MATCH($B377&amp;"||"&amp;$D377,ATT_DATA!$G$2:$G$231,0)),"")</f>
        <v>0</v>
      </c>
      <c r="K377" s="2" t="n">
        <f aca="false">IF(OR(H377="",ISNUMBER(H377)=FALSE()),"",H377+I377+J377)</f>
        <v>5</v>
      </c>
      <c r="L377" s="3" t="n">
        <f aca="false">IFERROR(H377/K377,"")</f>
        <v>1</v>
      </c>
    </row>
    <row r="378" customFormat="false" ht="15" hidden="false" customHeight="false" outlineLevel="0" collapsed="false">
      <c r="A378" s="2" t="n">
        <v>377</v>
      </c>
      <c r="B378" s="2" t="s">
        <v>41</v>
      </c>
      <c r="C378" s="2" t="s">
        <v>33</v>
      </c>
      <c r="D378" s="2" t="n">
        <f aca="false">'MJLI 20'!C27</f>
        <v>26366</v>
      </c>
      <c r="E378" s="2" t="str">
        <f aca="false">'MJLI 20'!B27</f>
        <v>BAKUL AKTER</v>
      </c>
      <c r="F378" s="2" t="str">
        <f aca="false">'MJLI 20'!D27</f>
        <v>01984-416434</v>
      </c>
      <c r="G378" s="2" t="str">
        <f aca="false">'MJLI 20'!E27</f>
        <v>01787-164349</v>
      </c>
      <c r="H378" s="2" t="n">
        <f aca="false">IFERROR(INDEX(ATT_DATA!$D$2:$D$231,MATCH($B378&amp;"||"&amp;$D378,ATT_DATA!$G$2:$G$231,0)),"")</f>
        <v>5</v>
      </c>
      <c r="I378" s="2" t="n">
        <f aca="false">IFERROR(INDEX(ATT_DATA!$E$2:$E$231,MATCH($B378&amp;"||"&amp;$D378,ATT_DATA!$G$2:$G$231,0)),"")</f>
        <v>0</v>
      </c>
      <c r="J378" s="2" t="n">
        <f aca="false">IFERROR(INDEX(ATT_DATA!$F$2:$F$231,MATCH($B378&amp;"||"&amp;$D378,ATT_DATA!$G$2:$G$231,0)),"")</f>
        <v>0</v>
      </c>
      <c r="K378" s="2" t="n">
        <f aca="false">IF(OR(H378="",ISNUMBER(H378)=FALSE()),"",H378+I378+J378)</f>
        <v>5</v>
      </c>
      <c r="L378" s="3" t="n">
        <f aca="false">IFERROR(H378/K378,"")</f>
        <v>1</v>
      </c>
    </row>
    <row r="379" customFormat="false" ht="15" hidden="false" customHeight="false" outlineLevel="0" collapsed="false">
      <c r="A379" s="2" t="n">
        <v>378</v>
      </c>
      <c r="B379" s="2" t="s">
        <v>41</v>
      </c>
      <c r="C379" s="2" t="s">
        <v>33</v>
      </c>
      <c r="D379" s="2" t="n">
        <f aca="false">'MJLI 20'!C28</f>
        <v>26369</v>
      </c>
      <c r="E379" s="2" t="str">
        <f aca="false">'MJLI 20'!B28</f>
        <v>SWIBAL SARKAR DRUVO </v>
      </c>
      <c r="F379" s="2" t="str">
        <f aca="false">'MJLI 20'!D28</f>
        <v>01855-549927</v>
      </c>
      <c r="G379" s="2" t="str">
        <f aca="false">'MJLI 20'!E28</f>
        <v>01923-639455</v>
      </c>
      <c r="H379" s="2" t="n">
        <f aca="false">IFERROR(INDEX(ATT_DATA!$D$2:$D$231,MATCH($B379&amp;"||"&amp;$D379,ATT_DATA!$G$2:$G$231,0)),"")</f>
        <v>5</v>
      </c>
      <c r="I379" s="2" t="n">
        <f aca="false">IFERROR(INDEX(ATT_DATA!$E$2:$E$231,MATCH($B379&amp;"||"&amp;$D379,ATT_DATA!$G$2:$G$231,0)),"")</f>
        <v>0</v>
      </c>
      <c r="J379" s="2" t="n">
        <f aca="false">IFERROR(INDEX(ATT_DATA!$F$2:$F$231,MATCH($B379&amp;"||"&amp;$D379,ATT_DATA!$G$2:$G$231,0)),"")</f>
        <v>0</v>
      </c>
      <c r="K379" s="2" t="n">
        <f aca="false">IF(OR(H379="",ISNUMBER(H379)=FALSE()),"",H379+I379+J379)</f>
        <v>5</v>
      </c>
      <c r="L379" s="3" t="n">
        <f aca="false">IFERROR(H379/K379,"")</f>
        <v>1</v>
      </c>
    </row>
    <row r="380" customFormat="false" ht="15" hidden="false" customHeight="false" outlineLevel="0" collapsed="false">
      <c r="A380" s="2" t="n">
        <v>379</v>
      </c>
      <c r="B380" s="2" t="s">
        <v>41</v>
      </c>
      <c r="C380" s="2" t="s">
        <v>33</v>
      </c>
      <c r="D380" s="2" t="n">
        <f aca="false">'MJLI 20'!C29</f>
        <v>26380</v>
      </c>
      <c r="E380" s="2" t="str">
        <f aca="false">'MJLI 20'!B29</f>
        <v>LUBNA AKTER</v>
      </c>
      <c r="F380" s="2" t="str">
        <f aca="false">'MJLI 20'!D29</f>
        <v>01791-619452</v>
      </c>
      <c r="G380" s="2" t="str">
        <f aca="false">'MJLI 20'!E29</f>
        <v>01745-289527</v>
      </c>
      <c r="H380" s="2" t="str">
        <f aca="false">IFERROR(INDEX(ATT_DATA!$D$2:$D$231,MATCH($B380&amp;"||"&amp;$D380,ATT_DATA!$G$2:$G$231,0)),"")</f>
        <v/>
      </c>
      <c r="I380" s="2" t="str">
        <f aca="false">IFERROR(INDEX(ATT_DATA!$E$2:$E$231,MATCH($B380&amp;"||"&amp;$D380,ATT_DATA!$G$2:$G$231,0)),"")</f>
        <v/>
      </c>
      <c r="J380" s="2" t="str">
        <f aca="false">IFERROR(INDEX(ATT_DATA!$F$2:$F$231,MATCH($B380&amp;"||"&amp;$D380,ATT_DATA!$G$2:$G$231,0)),"")</f>
        <v/>
      </c>
      <c r="K380" s="2" t="str">
        <f aca="false">IF(OR(H380="",ISNUMBER(H380)=FALSE()),"",H380+I380+J380)</f>
        <v/>
      </c>
      <c r="L380" s="3" t="str">
        <f aca="false">IFERROR(H380/K380,"")</f>
        <v/>
      </c>
    </row>
    <row r="381" customFormat="false" ht="15" hidden="false" customHeight="false" outlineLevel="0" collapsed="false">
      <c r="A381" s="2" t="n">
        <v>380</v>
      </c>
      <c r="B381" s="2" t="s">
        <v>41</v>
      </c>
      <c r="C381" s="2" t="s">
        <v>33</v>
      </c>
      <c r="D381" s="2" t="n">
        <f aca="false">'MJLI 20'!C30</f>
        <v>26371</v>
      </c>
      <c r="E381" s="2" t="str">
        <f aca="false">'MJLI 20'!B30</f>
        <v>SUMAIYA </v>
      </c>
      <c r="F381" s="2" t="str">
        <f aca="false">'MJLI 20'!D30</f>
        <v>01855-053949</v>
      </c>
      <c r="G381" s="2" t="str">
        <f aca="false">'MJLI 20'!E30</f>
        <v>01890-311845</v>
      </c>
      <c r="H381" s="2" t="n">
        <f aca="false">IFERROR(INDEX(ATT_DATA!$D$2:$D$231,MATCH($B381&amp;"||"&amp;$D381,ATT_DATA!$G$2:$G$231,0)),"")</f>
        <v>3</v>
      </c>
      <c r="I381" s="2" t="n">
        <f aca="false">IFERROR(INDEX(ATT_DATA!$E$2:$E$231,MATCH($B381&amp;"||"&amp;$D381,ATT_DATA!$G$2:$G$231,0)),"")</f>
        <v>2</v>
      </c>
      <c r="J381" s="2" t="n">
        <f aca="false">IFERROR(INDEX(ATT_DATA!$F$2:$F$231,MATCH($B381&amp;"||"&amp;$D381,ATT_DATA!$G$2:$G$231,0)),"")</f>
        <v>0</v>
      </c>
      <c r="K381" s="2" t="n">
        <f aca="false">IF(OR(H381="",ISNUMBER(H381)=FALSE()),"",H381+I381+J381)</f>
        <v>5</v>
      </c>
      <c r="L381" s="3" t="n">
        <f aca="false">IFERROR(H381/K381,"")</f>
        <v>0.6</v>
      </c>
    </row>
    <row r="382" customFormat="false" ht="15" hidden="false" customHeight="false" outlineLevel="0" collapsed="false">
      <c r="A382" s="2" t="n">
        <v>381</v>
      </c>
      <c r="B382" s="2" t="s">
        <v>41</v>
      </c>
      <c r="C382" s="2" t="s">
        <v>33</v>
      </c>
      <c r="D382" s="2" t="n">
        <f aca="false">'MJLI 20'!C31</f>
        <v>26372</v>
      </c>
      <c r="E382" s="2" t="str">
        <f aca="false">'MJLI 20'!B31</f>
        <v>MAHMUD HASAN</v>
      </c>
      <c r="F382" s="2" t="str">
        <f aca="false">'MJLI 20'!D31</f>
        <v>01880-453220</v>
      </c>
      <c r="G382" s="2" t="str">
        <f aca="false">'MJLI 20'!E31</f>
        <v>01953-396912</v>
      </c>
      <c r="H382" s="2" t="str">
        <f aca="false">IFERROR(INDEX(ATT_DATA!$D$2:$D$231,MATCH($B382&amp;"||"&amp;$D382,ATT_DATA!$G$2:$G$231,0)),"")</f>
        <v/>
      </c>
      <c r="I382" s="2" t="str">
        <f aca="false">IFERROR(INDEX(ATT_DATA!$E$2:$E$231,MATCH($B382&amp;"||"&amp;$D382,ATT_DATA!$G$2:$G$231,0)),"")</f>
        <v/>
      </c>
      <c r="J382" s="2" t="str">
        <f aca="false">IFERROR(INDEX(ATT_DATA!$F$2:$F$231,MATCH($B382&amp;"||"&amp;$D382,ATT_DATA!$G$2:$G$231,0)),"")</f>
        <v/>
      </c>
      <c r="K382" s="2" t="str">
        <f aca="false">IF(OR(H382="",ISNUMBER(H382)=FALSE()),"",H382+I382+J382)</f>
        <v/>
      </c>
      <c r="L382" s="3" t="str">
        <f aca="false">IFERROR(H382/K382,"")</f>
        <v/>
      </c>
    </row>
    <row r="383" customFormat="false" ht="15" hidden="false" customHeight="false" outlineLevel="0" collapsed="false">
      <c r="A383" s="2" t="n">
        <v>382</v>
      </c>
      <c r="B383" s="2" t="s">
        <v>42</v>
      </c>
      <c r="C383" s="2" t="s">
        <v>33</v>
      </c>
      <c r="D383" s="2" t="n">
        <f aca="false">'N4 26C'!D4</f>
        <v>26236</v>
      </c>
      <c r="E383" s="2" t="str">
        <f aca="false">'N4 26C'!B4</f>
        <v>BIDHAN CHANDRA MONDAL</v>
      </c>
      <c r="F383" s="2" t="str">
        <f aca="false">'N4 26C'!E4</f>
        <v>01817-470730</v>
      </c>
      <c r="G383" s="2" t="str">
        <f aca="false">'N4 26C'!F4</f>
        <v>01865-728884</v>
      </c>
      <c r="H383" s="2" t="n">
        <f aca="false">IFERROR(INDEX(ATT_DATA!$D$2:$D$231,MATCH($B383&amp;"||"&amp;$D383,ATT_DATA!$G$2:$G$231,0)),"")</f>
        <v>10</v>
      </c>
      <c r="I383" s="2" t="n">
        <f aca="false">IFERROR(INDEX(ATT_DATA!$E$2:$E$231,MATCH($B383&amp;"||"&amp;$D383,ATT_DATA!$G$2:$G$231,0)),"")</f>
        <v>3</v>
      </c>
      <c r="J383" s="2" t="n">
        <f aca="false">IFERROR(INDEX(ATT_DATA!$F$2:$F$231,MATCH($B383&amp;"||"&amp;$D383,ATT_DATA!$G$2:$G$231,0)),"")</f>
        <v>0</v>
      </c>
      <c r="K383" s="2" t="n">
        <f aca="false">IF(OR(H383="",ISNUMBER(H383)=FALSE()),"",H383+I383+J383)</f>
        <v>13</v>
      </c>
      <c r="L383" s="3" t="n">
        <f aca="false">IFERROR(H383/K383,"")</f>
        <v>0.769230769230769</v>
      </c>
    </row>
    <row r="384" customFormat="false" ht="15" hidden="false" customHeight="false" outlineLevel="0" collapsed="false">
      <c r="A384" s="2" t="n">
        <v>383</v>
      </c>
      <c r="B384" s="2" t="s">
        <v>42</v>
      </c>
      <c r="C384" s="2" t="s">
        <v>33</v>
      </c>
      <c r="D384" s="2" t="n">
        <f aca="false">'N4 26C'!D5</f>
        <v>25161</v>
      </c>
      <c r="E384" s="2" t="str">
        <f aca="false">'N4 26C'!B5</f>
        <v>KAWSHAR HASAN SUMIT</v>
      </c>
      <c r="F384" s="2" t="str">
        <f aca="false">'N4 26C'!E5</f>
        <v>01300-774779</v>
      </c>
      <c r="G384" s="2" t="str">
        <f aca="false">'N4 26C'!F5</f>
        <v>01778-226707</v>
      </c>
      <c r="H384" s="2" t="n">
        <f aca="false">IFERROR(INDEX(ATT_DATA!$D$2:$D$231,MATCH($B384&amp;"||"&amp;$D384,ATT_DATA!$G$2:$G$231,0)),"")</f>
        <v>10</v>
      </c>
      <c r="I384" s="2" t="n">
        <f aca="false">IFERROR(INDEX(ATT_DATA!$E$2:$E$231,MATCH($B384&amp;"||"&amp;$D384,ATT_DATA!$G$2:$G$231,0)),"")</f>
        <v>3</v>
      </c>
      <c r="J384" s="2" t="n">
        <f aca="false">IFERROR(INDEX(ATT_DATA!$F$2:$F$231,MATCH($B384&amp;"||"&amp;$D384,ATT_DATA!$G$2:$G$231,0)),"")</f>
        <v>0</v>
      </c>
      <c r="K384" s="2" t="n">
        <f aca="false">IF(OR(H384="",ISNUMBER(H384)=FALSE()),"",H384+I384+J384)</f>
        <v>13</v>
      </c>
      <c r="L384" s="3" t="n">
        <f aca="false">IFERROR(H384/K384,"")</f>
        <v>0.769230769230769</v>
      </c>
    </row>
    <row r="385" customFormat="false" ht="15" hidden="false" customHeight="false" outlineLevel="0" collapsed="false">
      <c r="A385" s="2" t="n">
        <v>384</v>
      </c>
      <c r="B385" s="2" t="s">
        <v>42</v>
      </c>
      <c r="C385" s="2" t="s">
        <v>33</v>
      </c>
      <c r="D385" s="2" t="n">
        <f aca="false">'N4 26C'!D6</f>
        <v>26235</v>
      </c>
      <c r="E385" s="2" t="str">
        <f aca="false">'N4 26C'!B6</f>
        <v>JANNATUL FERDOUS AHONA </v>
      </c>
      <c r="F385" s="2" t="str">
        <f aca="false">'N4 26C'!E6</f>
        <v>01629-427117</v>
      </c>
      <c r="G385" s="2" t="str">
        <f aca="false">'N4 26C'!F6</f>
        <v>01676-474879</v>
      </c>
      <c r="H385" s="2" t="n">
        <f aca="false">IFERROR(INDEX(ATT_DATA!$D$2:$D$231,MATCH($B385&amp;"||"&amp;$D385,ATT_DATA!$G$2:$G$231,0)),"")</f>
        <v>7</v>
      </c>
      <c r="I385" s="2" t="n">
        <f aca="false">IFERROR(INDEX(ATT_DATA!$E$2:$E$231,MATCH($B385&amp;"||"&amp;$D385,ATT_DATA!$G$2:$G$231,0)),"")</f>
        <v>6</v>
      </c>
      <c r="J385" s="2" t="n">
        <f aca="false">IFERROR(INDEX(ATT_DATA!$F$2:$F$231,MATCH($B385&amp;"||"&amp;$D385,ATT_DATA!$G$2:$G$231,0)),"")</f>
        <v>0</v>
      </c>
      <c r="K385" s="2" t="n">
        <f aca="false">IF(OR(H385="",ISNUMBER(H385)=FALSE()),"",H385+I385+J385)</f>
        <v>13</v>
      </c>
      <c r="L385" s="3" t="n">
        <f aca="false">IFERROR(H385/K385,"")</f>
        <v>0.538461538461538</v>
      </c>
    </row>
    <row r="386" customFormat="false" ht="15" hidden="false" customHeight="false" outlineLevel="0" collapsed="false">
      <c r="A386" s="2" t="n">
        <v>385</v>
      </c>
      <c r="B386" s="2" t="s">
        <v>42</v>
      </c>
      <c r="C386" s="2" t="s">
        <v>33</v>
      </c>
      <c r="D386" s="2" t="n">
        <f aca="false">'N4 26C'!D7</f>
        <v>26244</v>
      </c>
      <c r="E386" s="2" t="str">
        <f aca="false">'N4 26C'!B7</f>
        <v>SUMAIYA ISLAM</v>
      </c>
      <c r="F386" s="2" t="str">
        <f aca="false">'N4 26C'!E7</f>
        <v>01904-289237</v>
      </c>
      <c r="G386" s="2" t="str">
        <f aca="false">'N4 26C'!F7</f>
        <v>01952-163112</v>
      </c>
      <c r="H386" s="2" t="n">
        <f aca="false">IFERROR(INDEX(ATT_DATA!$D$2:$D$231,MATCH($B386&amp;"||"&amp;$D386,ATT_DATA!$G$2:$G$231,0)),"")</f>
        <v>7</v>
      </c>
      <c r="I386" s="2" t="n">
        <f aca="false">IFERROR(INDEX(ATT_DATA!$E$2:$E$231,MATCH($B386&amp;"||"&amp;$D386,ATT_DATA!$G$2:$G$231,0)),"")</f>
        <v>6</v>
      </c>
      <c r="J386" s="2" t="n">
        <f aca="false">IFERROR(INDEX(ATT_DATA!$F$2:$F$231,MATCH($B386&amp;"||"&amp;$D386,ATT_DATA!$G$2:$G$231,0)),"")</f>
        <v>0</v>
      </c>
      <c r="K386" s="2" t="n">
        <f aca="false">IF(OR(H386="",ISNUMBER(H386)=FALSE()),"",H386+I386+J386)</f>
        <v>13</v>
      </c>
      <c r="L386" s="3" t="n">
        <f aca="false">IFERROR(H386/K386,"")</f>
        <v>0.538461538461538</v>
      </c>
    </row>
    <row r="387" customFormat="false" ht="15" hidden="false" customHeight="false" outlineLevel="0" collapsed="false">
      <c r="A387" s="2" t="n">
        <v>386</v>
      </c>
      <c r="B387" s="2" t="s">
        <v>42</v>
      </c>
      <c r="C387" s="2" t="s">
        <v>33</v>
      </c>
      <c r="D387" s="2" t="n">
        <f aca="false">'N4 26C'!D8</f>
        <v>26336</v>
      </c>
      <c r="E387" s="2" t="str">
        <f aca="false">'N4 26C'!B8</f>
        <v>MD SHEFAT RAHMAN</v>
      </c>
      <c r="F387" s="2" t="str">
        <f aca="false">'N4 26C'!E8</f>
        <v>01842-116158</v>
      </c>
      <c r="G387" s="2" t="str">
        <f aca="false">'N4 26C'!F8</f>
        <v>01782-399127</v>
      </c>
      <c r="H387" s="2" t="n">
        <f aca="false">IFERROR(INDEX(ATT_DATA!$D$2:$D$231,MATCH($B387&amp;"||"&amp;$D387,ATT_DATA!$G$2:$G$231,0)),"")</f>
        <v>2</v>
      </c>
      <c r="I387" s="2" t="n">
        <f aca="false">IFERROR(INDEX(ATT_DATA!$E$2:$E$231,MATCH($B387&amp;"||"&amp;$D387,ATT_DATA!$G$2:$G$231,0)),"")</f>
        <v>11</v>
      </c>
      <c r="J387" s="2" t="n">
        <f aca="false">IFERROR(INDEX(ATT_DATA!$F$2:$F$231,MATCH($B387&amp;"||"&amp;$D387,ATT_DATA!$G$2:$G$231,0)),"")</f>
        <v>0</v>
      </c>
      <c r="K387" s="2" t="n">
        <f aca="false">IF(OR(H387="",ISNUMBER(H387)=FALSE()),"",H387+I387+J387)</f>
        <v>13</v>
      </c>
      <c r="L387" s="3" t="n">
        <f aca="false">IFERROR(H387/K387,"")</f>
        <v>0.153846153846154</v>
      </c>
    </row>
    <row r="388" customFormat="false" ht="15" hidden="false" customHeight="false" outlineLevel="0" collapsed="false">
      <c r="A388" s="2" t="n">
        <v>387</v>
      </c>
      <c r="B388" s="2" t="s">
        <v>42</v>
      </c>
      <c r="C388" s="2" t="s">
        <v>33</v>
      </c>
      <c r="D388" s="2" t="n">
        <f aca="false">'N4 26C'!D9</f>
        <v>25228</v>
      </c>
      <c r="E388" s="2" t="str">
        <f aca="false">'N4 26C'!B9</f>
        <v>MORSHALIN SHEIKH</v>
      </c>
      <c r="F388" s="2" t="str">
        <f aca="false">'N4 26C'!E9</f>
        <v>01328-237431</v>
      </c>
      <c r="G388" s="2" t="str">
        <f aca="false">'N4 26C'!F9</f>
        <v>01595-057239</v>
      </c>
      <c r="H388" s="2" t="n">
        <f aca="false">IFERROR(INDEX(ATT_DATA!$D$2:$D$231,MATCH($B388&amp;"||"&amp;$D388,ATT_DATA!$G$2:$G$231,0)),"")</f>
        <v>3</v>
      </c>
      <c r="I388" s="2" t="n">
        <f aca="false">IFERROR(INDEX(ATT_DATA!$E$2:$E$231,MATCH($B388&amp;"||"&amp;$D388,ATT_DATA!$G$2:$G$231,0)),"")</f>
        <v>10</v>
      </c>
      <c r="J388" s="2" t="n">
        <f aca="false">IFERROR(INDEX(ATT_DATA!$F$2:$F$231,MATCH($B388&amp;"||"&amp;$D388,ATT_DATA!$G$2:$G$231,0)),"")</f>
        <v>0</v>
      </c>
      <c r="K388" s="2" t="n">
        <f aca="false">IF(OR(H388="",ISNUMBER(H388)=FALSE()),"",H388+I388+J388)</f>
        <v>13</v>
      </c>
      <c r="L388" s="3" t="n">
        <f aca="false">IFERROR(H388/K388,"")</f>
        <v>0.230769230769231</v>
      </c>
    </row>
    <row r="389" customFormat="false" ht="15" hidden="false" customHeight="false" outlineLevel="0" collapsed="false">
      <c r="A389" s="2" t="n">
        <v>388</v>
      </c>
      <c r="B389" s="2" t="s">
        <v>42</v>
      </c>
      <c r="C389" s="2" t="s">
        <v>33</v>
      </c>
      <c r="D389" s="2" t="n">
        <f aca="false">'N4 26C'!D10</f>
        <v>25229</v>
      </c>
      <c r="E389" s="2" t="str">
        <f aca="false">'N4 26C'!B10</f>
        <v>RIFAT HASAN</v>
      </c>
      <c r="F389" s="2" t="str">
        <f aca="false">'N4 26C'!E10</f>
        <v>01735-472206</v>
      </c>
      <c r="G389" s="2" t="str">
        <f aca="false">'N4 26C'!F10</f>
        <v>01724-778279</v>
      </c>
      <c r="H389" s="2" t="n">
        <f aca="false">IFERROR(INDEX(ATT_DATA!$D$2:$D$231,MATCH($B389&amp;"||"&amp;$D389,ATT_DATA!$G$2:$G$231,0)),"")</f>
        <v>10</v>
      </c>
      <c r="I389" s="2" t="n">
        <f aca="false">IFERROR(INDEX(ATT_DATA!$E$2:$E$231,MATCH($B389&amp;"||"&amp;$D389,ATT_DATA!$G$2:$G$231,0)),"")</f>
        <v>3</v>
      </c>
      <c r="J389" s="2" t="n">
        <f aca="false">IFERROR(INDEX(ATT_DATA!$F$2:$F$231,MATCH($B389&amp;"||"&amp;$D389,ATT_DATA!$G$2:$G$231,0)),"")</f>
        <v>0</v>
      </c>
      <c r="K389" s="2" t="n">
        <f aca="false">IF(OR(H389="",ISNUMBER(H389)=FALSE()),"",H389+I389+J389)</f>
        <v>13</v>
      </c>
      <c r="L389" s="3" t="n">
        <f aca="false">IFERROR(H389/K389,"")</f>
        <v>0.769230769230769</v>
      </c>
    </row>
    <row r="390" customFormat="false" ht="15" hidden="false" customHeight="false" outlineLevel="0" collapsed="false">
      <c r="A390" s="2" t="n">
        <v>389</v>
      </c>
      <c r="B390" s="2" t="s">
        <v>42</v>
      </c>
      <c r="C390" s="2" t="s">
        <v>33</v>
      </c>
      <c r="D390" s="2" t="n">
        <f aca="false">'N4 26C'!D11</f>
        <v>26246</v>
      </c>
      <c r="E390" s="2" t="str">
        <f aca="false">'N4 26C'!B11</f>
        <v>AMIT GOSH</v>
      </c>
      <c r="F390" s="2" t="str">
        <f aca="false">'N4 26C'!E11</f>
        <v>01963-605906</v>
      </c>
      <c r="G390" s="2" t="str">
        <f aca="false">'N4 26C'!F11</f>
        <v>01771-623676</v>
      </c>
      <c r="H390" s="2" t="n">
        <f aca="false">IFERROR(INDEX(ATT_DATA!$D$2:$D$231,MATCH($B390&amp;"||"&amp;$D390,ATT_DATA!$G$2:$G$231,0)),"")</f>
        <v>7</v>
      </c>
      <c r="I390" s="2" t="n">
        <f aca="false">IFERROR(INDEX(ATT_DATA!$E$2:$E$231,MATCH($B390&amp;"||"&amp;$D390,ATT_DATA!$G$2:$G$231,0)),"")</f>
        <v>6</v>
      </c>
      <c r="J390" s="2" t="n">
        <f aca="false">IFERROR(INDEX(ATT_DATA!$F$2:$F$231,MATCH($B390&amp;"||"&amp;$D390,ATT_DATA!$G$2:$G$231,0)),"")</f>
        <v>0</v>
      </c>
      <c r="K390" s="2" t="n">
        <f aca="false">IF(OR(H390="",ISNUMBER(H390)=FALSE()),"",H390+I390+J390)</f>
        <v>13</v>
      </c>
      <c r="L390" s="3" t="n">
        <f aca="false">IFERROR(H390/K390,"")</f>
        <v>0.538461538461538</v>
      </c>
    </row>
    <row r="391" customFormat="false" ht="15" hidden="false" customHeight="false" outlineLevel="0" collapsed="false">
      <c r="A391" s="2" t="n">
        <v>390</v>
      </c>
      <c r="B391" s="2" t="s">
        <v>42</v>
      </c>
      <c r="C391" s="2" t="s">
        <v>33</v>
      </c>
      <c r="D391" s="2" t="n">
        <f aca="false">'N4 26C'!D12</f>
        <v>26242</v>
      </c>
      <c r="E391" s="2" t="str">
        <f aca="false">'N4 26C'!B12</f>
        <v>JANNATUL ISLAM HRIDIKA</v>
      </c>
      <c r="F391" s="2" t="str">
        <f aca="false">'N4 26C'!E12</f>
        <v>01400-439969</v>
      </c>
      <c r="G391" s="2" t="str">
        <f aca="false">'N4 26C'!F12</f>
        <v>01972-567210</v>
      </c>
      <c r="H391" s="2" t="n">
        <f aca="false">IFERROR(INDEX(ATT_DATA!$D$2:$D$231,MATCH($B391&amp;"||"&amp;$D391,ATT_DATA!$G$2:$G$231,0)),"")</f>
        <v>4</v>
      </c>
      <c r="I391" s="2" t="n">
        <f aca="false">IFERROR(INDEX(ATT_DATA!$E$2:$E$231,MATCH($B391&amp;"||"&amp;$D391,ATT_DATA!$G$2:$G$231,0)),"")</f>
        <v>9</v>
      </c>
      <c r="J391" s="2" t="n">
        <f aca="false">IFERROR(INDEX(ATT_DATA!$F$2:$F$231,MATCH($B391&amp;"||"&amp;$D391,ATT_DATA!$G$2:$G$231,0)),"")</f>
        <v>0</v>
      </c>
      <c r="K391" s="2" t="n">
        <f aca="false">IF(OR(H391="",ISNUMBER(H391)=FALSE()),"",H391+I391+J391)</f>
        <v>13</v>
      </c>
      <c r="L391" s="3" t="n">
        <f aca="false">IFERROR(H391/K391,"")</f>
        <v>0.307692307692308</v>
      </c>
    </row>
    <row r="392" customFormat="false" ht="15" hidden="false" customHeight="false" outlineLevel="0" collapsed="false">
      <c r="A392" s="2" t="n">
        <v>391</v>
      </c>
      <c r="B392" s="2" t="s">
        <v>42</v>
      </c>
      <c r="C392" s="2" t="s">
        <v>33</v>
      </c>
      <c r="D392" s="2" t="n">
        <f aca="false">'N4 26C'!D13</f>
        <v>26241</v>
      </c>
      <c r="E392" s="2" t="str">
        <f aca="false">'N4 26C'!B13</f>
        <v>ROKIBUL ISLAM</v>
      </c>
      <c r="F392" s="2" t="str">
        <f aca="false">'N4 26C'!E13</f>
        <v>01818-927715</v>
      </c>
      <c r="G392" s="2" t="n">
        <f aca="false">'N4 26C'!F13</f>
        <v>0</v>
      </c>
      <c r="H392" s="2" t="n">
        <f aca="false">IFERROR(INDEX(ATT_DATA!$D$2:$D$231,MATCH($B392&amp;"||"&amp;$D392,ATT_DATA!$G$2:$G$231,0)),"")</f>
        <v>3</v>
      </c>
      <c r="I392" s="2" t="n">
        <f aca="false">IFERROR(INDEX(ATT_DATA!$E$2:$E$231,MATCH($B392&amp;"||"&amp;$D392,ATT_DATA!$G$2:$G$231,0)),"")</f>
        <v>10</v>
      </c>
      <c r="J392" s="2" t="n">
        <f aca="false">IFERROR(INDEX(ATT_DATA!$F$2:$F$231,MATCH($B392&amp;"||"&amp;$D392,ATT_DATA!$G$2:$G$231,0)),"")</f>
        <v>0</v>
      </c>
      <c r="K392" s="2" t="n">
        <f aca="false">IF(OR(H392="",ISNUMBER(H392)=FALSE()),"",H392+I392+J392)</f>
        <v>13</v>
      </c>
      <c r="L392" s="3" t="n">
        <f aca="false">IFERROR(H392/K392,"")</f>
        <v>0.230769230769231</v>
      </c>
    </row>
    <row r="393" customFormat="false" ht="15" hidden="false" customHeight="false" outlineLevel="0" collapsed="false">
      <c r="A393" s="2" t="n">
        <v>392</v>
      </c>
      <c r="B393" s="2" t="s">
        <v>42</v>
      </c>
      <c r="C393" s="2" t="s">
        <v>33</v>
      </c>
      <c r="D393" s="2" t="n">
        <f aca="false">'N4 26C'!D14</f>
        <v>26248</v>
      </c>
      <c r="E393" s="2" t="str">
        <f aca="false">'N4 26C'!B14</f>
        <v>MEHERAB HOSSAIN</v>
      </c>
      <c r="F393" s="2" t="str">
        <f aca="false">'N4 26C'!E14</f>
        <v>01768-211968</v>
      </c>
      <c r="G393" s="2" t="str">
        <f aca="false">'N4 26C'!F14</f>
        <v>01703-182577</v>
      </c>
      <c r="H393" s="2" t="n">
        <f aca="false">IFERROR(INDEX(ATT_DATA!$D$2:$D$231,MATCH($B393&amp;"||"&amp;$D393,ATT_DATA!$G$2:$G$231,0)),"")</f>
        <v>3</v>
      </c>
      <c r="I393" s="2" t="n">
        <f aca="false">IFERROR(INDEX(ATT_DATA!$E$2:$E$231,MATCH($B393&amp;"||"&amp;$D393,ATT_DATA!$G$2:$G$231,0)),"")</f>
        <v>10</v>
      </c>
      <c r="J393" s="2" t="n">
        <f aca="false">IFERROR(INDEX(ATT_DATA!$F$2:$F$231,MATCH($B393&amp;"||"&amp;$D393,ATT_DATA!$G$2:$G$231,0)),"")</f>
        <v>0</v>
      </c>
      <c r="K393" s="2" t="n">
        <f aca="false">IF(OR(H393="",ISNUMBER(H393)=FALSE()),"",H393+I393+J393)</f>
        <v>13</v>
      </c>
      <c r="L393" s="3" t="n">
        <f aca="false">IFERROR(H393/K393,"")</f>
        <v>0.230769230769231</v>
      </c>
    </row>
    <row r="394" customFormat="false" ht="15" hidden="false" customHeight="false" outlineLevel="0" collapsed="false">
      <c r="A394" s="2" t="n">
        <v>393</v>
      </c>
      <c r="B394" s="2" t="s">
        <v>42</v>
      </c>
      <c r="C394" s="2" t="s">
        <v>33</v>
      </c>
      <c r="D394" s="2" t="n">
        <f aca="false">'N4 26C'!D15</f>
        <v>25227</v>
      </c>
      <c r="E394" s="2" t="str">
        <f aca="false">'N4 26C'!B15</f>
        <v>WAZ KURONI HAQUE NIPU</v>
      </c>
      <c r="F394" s="2" t="str">
        <f aca="false">'N4 26C'!E15</f>
        <v>01631-034961</v>
      </c>
      <c r="G394" s="2" t="str">
        <f aca="false">'N4 26C'!F15</f>
        <v>01943-036436</v>
      </c>
      <c r="H394" s="2" t="n">
        <f aca="false">IFERROR(INDEX(ATT_DATA!$D$2:$D$231,MATCH($B394&amp;"||"&amp;$D394,ATT_DATA!$G$2:$G$231,0)),"")</f>
        <v>5</v>
      </c>
      <c r="I394" s="2" t="n">
        <f aca="false">IFERROR(INDEX(ATT_DATA!$E$2:$E$231,MATCH($B394&amp;"||"&amp;$D394,ATT_DATA!$G$2:$G$231,0)),"")</f>
        <v>8</v>
      </c>
      <c r="J394" s="2" t="n">
        <f aca="false">IFERROR(INDEX(ATT_DATA!$F$2:$F$231,MATCH($B394&amp;"||"&amp;$D394,ATT_DATA!$G$2:$G$231,0)),"")</f>
        <v>0</v>
      </c>
      <c r="K394" s="2" t="n">
        <f aca="false">IF(OR(H394="",ISNUMBER(H394)=FALSE()),"",H394+I394+J394)</f>
        <v>13</v>
      </c>
      <c r="L394" s="3" t="n">
        <f aca="false">IFERROR(H394/K394,"")</f>
        <v>0.384615384615385</v>
      </c>
    </row>
    <row r="395" customFormat="false" ht="15" hidden="false" customHeight="false" outlineLevel="0" collapsed="false">
      <c r="A395" s="2" t="n">
        <v>394</v>
      </c>
      <c r="B395" s="2" t="s">
        <v>42</v>
      </c>
      <c r="C395" s="2" t="s">
        <v>33</v>
      </c>
      <c r="D395" s="2" t="n">
        <f aca="false">'N4 26C'!D16</f>
        <v>26302</v>
      </c>
      <c r="E395" s="2" t="str">
        <f aca="false">'N4 26C'!B16</f>
        <v>HASAN SHEIKH</v>
      </c>
      <c r="F395" s="2" t="str">
        <f aca="false">'N4 26C'!E16</f>
        <v>01612-178884</v>
      </c>
      <c r="G395" s="2" t="str">
        <f aca="false">'N4 26C'!F16</f>
        <v>01937-891048</v>
      </c>
      <c r="H395" s="2" t="n">
        <f aca="false">IFERROR(INDEX(ATT_DATA!$D$2:$D$231,MATCH($B395&amp;"||"&amp;$D395,ATT_DATA!$G$2:$G$231,0)),"")</f>
        <v>6</v>
      </c>
      <c r="I395" s="2" t="n">
        <f aca="false">IFERROR(INDEX(ATT_DATA!$E$2:$E$231,MATCH($B395&amp;"||"&amp;$D395,ATT_DATA!$G$2:$G$231,0)),"")</f>
        <v>7</v>
      </c>
      <c r="J395" s="2" t="n">
        <f aca="false">IFERROR(INDEX(ATT_DATA!$F$2:$F$231,MATCH($B395&amp;"||"&amp;$D395,ATT_DATA!$G$2:$G$231,0)),"")</f>
        <v>0</v>
      </c>
      <c r="K395" s="2" t="n">
        <f aca="false">IF(OR(H395="",ISNUMBER(H395)=FALSE()),"",H395+I395+J395)</f>
        <v>13</v>
      </c>
      <c r="L395" s="3" t="n">
        <f aca="false">IFERROR(H395/K395,"")</f>
        <v>0.461538461538462</v>
      </c>
    </row>
    <row r="396" customFormat="false" ht="15" hidden="false" customHeight="false" outlineLevel="0" collapsed="false">
      <c r="A396" s="2" t="n">
        <v>395</v>
      </c>
      <c r="B396" s="2" t="s">
        <v>42</v>
      </c>
      <c r="C396" s="2" t="s">
        <v>33</v>
      </c>
      <c r="D396" s="2" t="n">
        <f aca="false">'N4 26C'!D17</f>
        <v>25186</v>
      </c>
      <c r="E396" s="2" t="str">
        <f aca="false">'N4 26C'!B17</f>
        <v>MD ABDUL MANNAN</v>
      </c>
      <c r="F396" s="2" t="str">
        <f aca="false">'N4 26C'!E17</f>
        <v>01914-878400</v>
      </c>
      <c r="G396" s="2" t="n">
        <f aca="false">'N4 26C'!F17</f>
        <v>0</v>
      </c>
      <c r="H396" s="2" t="str">
        <f aca="false">IFERROR(INDEX(ATT_DATA!$D$2:$D$231,MATCH($B396&amp;"||"&amp;$D396,ATT_DATA!$G$2:$G$231,0)),"")</f>
        <v/>
      </c>
      <c r="I396" s="2" t="str">
        <f aca="false">IFERROR(INDEX(ATT_DATA!$E$2:$E$231,MATCH($B396&amp;"||"&amp;$D396,ATT_DATA!$G$2:$G$231,0)),"")</f>
        <v/>
      </c>
      <c r="J396" s="2" t="str">
        <f aca="false">IFERROR(INDEX(ATT_DATA!$F$2:$F$231,MATCH($B396&amp;"||"&amp;$D396,ATT_DATA!$G$2:$G$231,0)),"")</f>
        <v/>
      </c>
      <c r="K396" s="2" t="str">
        <f aca="false">IF(OR(H396="",ISNUMBER(H396)=FALSE()),"",H396+I396+J396)</f>
        <v/>
      </c>
      <c r="L396" s="3" t="str">
        <f aca="false">IFERROR(H396/K396,"")</f>
        <v/>
      </c>
    </row>
    <row r="397" customFormat="false" ht="15" hidden="false" customHeight="false" outlineLevel="0" collapsed="false">
      <c r="A397" s="2" t="n">
        <v>396</v>
      </c>
      <c r="B397" s="2" t="s">
        <v>42</v>
      </c>
      <c r="C397" s="2" t="s">
        <v>33</v>
      </c>
      <c r="D397" s="2" t="n">
        <f aca="false">'N4 26C'!D18</f>
        <v>26370</v>
      </c>
      <c r="E397" s="2" t="str">
        <f aca="false">'N4 26C'!B18</f>
        <v>MUSHFIQUR RAHMAN</v>
      </c>
      <c r="F397" s="2" t="str">
        <f aca="false">'N4 26C'!E18</f>
        <v>01575-821007</v>
      </c>
      <c r="G397" s="2" t="str">
        <f aca="false">'N4 26C'!F18</f>
        <v>01912-581833</v>
      </c>
      <c r="H397" s="2" t="str">
        <f aca="false">IFERROR(INDEX(ATT_DATA!$D$2:$D$231,MATCH($B397&amp;"||"&amp;$D397,ATT_DATA!$G$2:$G$231,0)),"")</f>
        <v/>
      </c>
      <c r="I397" s="2" t="str">
        <f aca="false">IFERROR(INDEX(ATT_DATA!$E$2:$E$231,MATCH($B397&amp;"||"&amp;$D397,ATT_DATA!$G$2:$G$231,0)),"")</f>
        <v/>
      </c>
      <c r="J397" s="2" t="str">
        <f aca="false">IFERROR(INDEX(ATT_DATA!$F$2:$F$231,MATCH($B397&amp;"||"&amp;$D397,ATT_DATA!$G$2:$G$231,0)),"")</f>
        <v/>
      </c>
      <c r="K397" s="2" t="str">
        <f aca="false">IF(OR(H397="",ISNUMBER(H397)=FALSE()),"",H397+I397+J397)</f>
        <v/>
      </c>
      <c r="L397" s="3" t="str">
        <f aca="false">IFERROR(H397/K397,"")</f>
        <v/>
      </c>
    </row>
    <row r="398" customFormat="false" ht="15" hidden="false" customHeight="false" outlineLevel="0" collapsed="false">
      <c r="A398" s="2" t="n">
        <v>397</v>
      </c>
      <c r="B398" s="2" t="s">
        <v>42</v>
      </c>
      <c r="C398" s="2" t="s">
        <v>33</v>
      </c>
      <c r="D398" s="2" t="n">
        <f aca="false">'N4 26C'!D19</f>
        <v>26378</v>
      </c>
      <c r="E398" s="2" t="str">
        <f aca="false">'N4 26C'!B19</f>
        <v>ROMA MONDAL</v>
      </c>
      <c r="F398" s="2" t="n">
        <f aca="false">'N4 26C'!E19</f>
        <v>0</v>
      </c>
      <c r="G398" s="2" t="n">
        <f aca="false">'N4 26C'!F19</f>
        <v>0</v>
      </c>
      <c r="H398" s="2" t="str">
        <f aca="false">IFERROR(INDEX(ATT_DATA!$D$2:$D$231,MATCH($B398&amp;"||"&amp;$D398,ATT_DATA!$G$2:$G$231,0)),"")</f>
        <v/>
      </c>
      <c r="I398" s="2" t="str">
        <f aca="false">IFERROR(INDEX(ATT_DATA!$E$2:$E$231,MATCH($B398&amp;"||"&amp;$D398,ATT_DATA!$G$2:$G$231,0)),"")</f>
        <v/>
      </c>
      <c r="J398" s="2" t="str">
        <f aca="false">IFERROR(INDEX(ATT_DATA!$F$2:$F$231,MATCH($B398&amp;"||"&amp;$D398,ATT_DATA!$G$2:$G$231,0)),"")</f>
        <v/>
      </c>
      <c r="K398" s="2" t="str">
        <f aca="false">IF(OR(H398="",ISNUMBER(H398)=FALSE()),"",H398+I398+J398)</f>
        <v/>
      </c>
      <c r="L398" s="3" t="str">
        <f aca="false">IFERROR(H398/K398,"")</f>
        <v/>
      </c>
    </row>
    <row r="399" customFormat="false" ht="15" hidden="false" customHeight="false" outlineLevel="0" collapsed="false">
      <c r="A399" s="2" t="n">
        <v>398</v>
      </c>
      <c r="B399" s="2" t="s">
        <v>43</v>
      </c>
      <c r="C399" s="2" t="s">
        <v>33</v>
      </c>
      <c r="D399" s="2" t="n">
        <f aca="false">'MJLI-21'!C4</f>
        <v>0</v>
      </c>
      <c r="E399" s="2" t="str">
        <f aca="false">'MJLI-21'!B4</f>
        <v>ABDUR RAHMAN</v>
      </c>
      <c r="F399" s="2" t="str">
        <f aca="false">'MJLI-21'!D4</f>
        <v>01914-845139</v>
      </c>
      <c r="G399" s="2" t="n">
        <f aca="false">'MJLI-21'!E4</f>
        <v>0</v>
      </c>
      <c r="H399" s="2" t="s">
        <v>14</v>
      </c>
      <c r="I399" s="2" t="s">
        <v>14</v>
      </c>
      <c r="J399" s="2" t="s">
        <v>14</v>
      </c>
      <c r="K399" s="2" t="s">
        <v>14</v>
      </c>
      <c r="L399" s="2" t="s">
        <v>14</v>
      </c>
    </row>
    <row r="400" customFormat="false" ht="15" hidden="false" customHeight="false" outlineLevel="0" collapsed="false">
      <c r="A400" s="2" t="n">
        <v>399</v>
      </c>
      <c r="B400" s="2" t="s">
        <v>43</v>
      </c>
      <c r="C400" s="2" t="s">
        <v>33</v>
      </c>
      <c r="D400" s="2" t="n">
        <f aca="false">'MJLI-21'!C5</f>
        <v>0</v>
      </c>
      <c r="E400" s="2" t="str">
        <f aca="false">'MJLI-21'!B5</f>
        <v>MD TAMBIRUL ISLAM SOJIB</v>
      </c>
      <c r="F400" s="2" t="str">
        <f aca="false">'MJLI-21'!D5</f>
        <v>01405-327745</v>
      </c>
      <c r="G400" s="2" t="str">
        <f aca="false">'MJLI-21'!E5</f>
        <v>01868-962800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14</v>
      </c>
    </row>
    <row r="401" customFormat="false" ht="15" hidden="false" customHeight="false" outlineLevel="0" collapsed="false">
      <c r="A401" s="2" t="n">
        <v>400</v>
      </c>
      <c r="B401" s="2" t="s">
        <v>43</v>
      </c>
      <c r="C401" s="2" t="s">
        <v>33</v>
      </c>
      <c r="D401" s="2" t="n">
        <f aca="false">'MJLI-21'!C6</f>
        <v>26321</v>
      </c>
      <c r="E401" s="2" t="str">
        <f aca="false">'MJLI-21'!B6</f>
        <v>ABDULLAH AL IMRAN</v>
      </c>
      <c r="F401" s="2" t="str">
        <f aca="false">'MJLI-21'!D6</f>
        <v>01795-312522</v>
      </c>
      <c r="G401" s="2" t="str">
        <f aca="false">'MJLI-21'!E6</f>
        <v>01833-425837</v>
      </c>
      <c r="H401" s="2" t="s">
        <v>14</v>
      </c>
      <c r="I401" s="2" t="s">
        <v>14</v>
      </c>
      <c r="J401" s="2" t="s">
        <v>14</v>
      </c>
      <c r="K401" s="2" t="s">
        <v>14</v>
      </c>
      <c r="L401" s="2" t="s">
        <v>14</v>
      </c>
    </row>
    <row r="402" customFormat="false" ht="15" hidden="false" customHeight="false" outlineLevel="0" collapsed="false">
      <c r="A402" s="2" t="n">
        <v>401</v>
      </c>
      <c r="B402" s="2" t="s">
        <v>43</v>
      </c>
      <c r="C402" s="2" t="s">
        <v>33</v>
      </c>
      <c r="D402" s="2" t="n">
        <f aca="false">'MJLI-21'!C7</f>
        <v>26345</v>
      </c>
      <c r="E402" s="2" t="str">
        <f aca="false">'MJLI-21'!B7</f>
        <v>SHUVO SARKER</v>
      </c>
      <c r="F402" s="2" t="str">
        <f aca="false">'MJLI-21'!D7</f>
        <v>01304-962555</v>
      </c>
      <c r="G402" s="2" t="str">
        <f aca="false">'MJLI-21'!E7</f>
        <v>01631-184398</v>
      </c>
      <c r="H402" s="2" t="s">
        <v>14</v>
      </c>
      <c r="I402" s="2" t="s">
        <v>14</v>
      </c>
      <c r="J402" s="2" t="s">
        <v>14</v>
      </c>
      <c r="K402" s="2" t="s">
        <v>14</v>
      </c>
      <c r="L402" s="2" t="s">
        <v>14</v>
      </c>
    </row>
    <row r="403" customFormat="false" ht="15" hidden="false" customHeight="false" outlineLevel="0" collapsed="false">
      <c r="A403" s="2" t="n">
        <v>402</v>
      </c>
      <c r="B403" s="2" t="s">
        <v>43</v>
      </c>
      <c r="C403" s="2" t="s">
        <v>33</v>
      </c>
      <c r="D403" s="2" t="n">
        <f aca="false">'MJLI-21'!C8</f>
        <v>26348</v>
      </c>
      <c r="E403" s="2" t="str">
        <f aca="false">'MJLI-21'!B8</f>
        <v>RAYHAN AHMED</v>
      </c>
      <c r="F403" s="2" t="str">
        <f aca="false">'MJLI-21'!D8</f>
        <v>01721-725048</v>
      </c>
      <c r="G403" s="2" t="str">
        <f aca="false">'MJLI-21'!E8</f>
        <v>01721-725048</v>
      </c>
      <c r="H403" s="2" t="s">
        <v>14</v>
      </c>
      <c r="I403" s="2" t="s">
        <v>14</v>
      </c>
      <c r="J403" s="2" t="s">
        <v>14</v>
      </c>
      <c r="K403" s="2" t="s">
        <v>14</v>
      </c>
      <c r="L403" s="2" t="s">
        <v>14</v>
      </c>
    </row>
    <row r="404" customFormat="false" ht="15" hidden="false" customHeight="false" outlineLevel="0" collapsed="false">
      <c r="A404" s="2" t="n">
        <v>403</v>
      </c>
      <c r="B404" s="2" t="s">
        <v>43</v>
      </c>
      <c r="C404" s="2" t="s">
        <v>33</v>
      </c>
      <c r="D404" s="2" t="n">
        <f aca="false">'MJLI-21'!C9</f>
        <v>0</v>
      </c>
      <c r="E404" s="2" t="str">
        <f aca="false">'MJLI-21'!B9</f>
        <v>ASFAK UDDIN SAMIN</v>
      </c>
      <c r="F404" s="2" t="str">
        <f aca="false">'MJLI-21'!D9</f>
        <v>01349-826871</v>
      </c>
      <c r="G404" s="2" t="str">
        <f aca="false">'MJLI-21'!E9</f>
        <v>01711-957235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14</v>
      </c>
    </row>
    <row r="405" customFormat="false" ht="15" hidden="false" customHeight="false" outlineLevel="0" collapsed="false">
      <c r="A405" s="2" t="n">
        <v>404</v>
      </c>
      <c r="B405" s="2" t="s">
        <v>43</v>
      </c>
      <c r="C405" s="2" t="s">
        <v>33</v>
      </c>
      <c r="D405" s="2" t="n">
        <f aca="false">'MJLI-21'!C10</f>
        <v>26354</v>
      </c>
      <c r="E405" s="2" t="str">
        <f aca="false">'MJLI-21'!B10</f>
        <v>ASFAK UDDIN</v>
      </c>
      <c r="F405" s="2" t="str">
        <f aca="false">'MJLI-21'!D10</f>
        <v>01537-359161</v>
      </c>
      <c r="G405" s="2" t="n">
        <f aca="false">'MJLI-21'!E10</f>
        <v>0</v>
      </c>
      <c r="H405" s="2" t="s">
        <v>14</v>
      </c>
      <c r="I405" s="2" t="s">
        <v>14</v>
      </c>
      <c r="J405" s="2" t="s">
        <v>14</v>
      </c>
      <c r="K405" s="2" t="s">
        <v>14</v>
      </c>
      <c r="L405" s="2" t="s">
        <v>14</v>
      </c>
    </row>
    <row r="406" customFormat="false" ht="15" hidden="false" customHeight="false" outlineLevel="0" collapsed="false">
      <c r="A406" s="2" t="n">
        <v>405</v>
      </c>
      <c r="B406" s="2" t="s">
        <v>44</v>
      </c>
      <c r="C406" s="2"/>
      <c r="D406" s="2" t="n">
        <f aca="false">'MJLI 22'!C4</f>
        <v>26334</v>
      </c>
      <c r="E406" s="2" t="str">
        <f aca="false">'MJLI 22'!B4</f>
        <v>MAHIR IQBAL PULOK</v>
      </c>
      <c r="F406" s="2" t="str">
        <f aca="false">'MJLI 22'!D4</f>
        <v>01646-937534</v>
      </c>
      <c r="G406" s="2" t="str">
        <f aca="false">'MJLI 22'!E4</f>
        <v>01766-149849</v>
      </c>
      <c r="H406" s="2" t="s">
        <v>14</v>
      </c>
      <c r="I406" s="2" t="s">
        <v>14</v>
      </c>
      <c r="J406" s="2" t="s">
        <v>14</v>
      </c>
      <c r="K406" s="2" t="s">
        <v>14</v>
      </c>
      <c r="L406" s="2" t="s">
        <v>14</v>
      </c>
    </row>
    <row r="407" customFormat="false" ht="15" hidden="false" customHeight="false" outlineLevel="0" collapsed="false">
      <c r="A407" s="2" t="n">
        <v>406</v>
      </c>
      <c r="B407" s="2" t="s">
        <v>44</v>
      </c>
      <c r="C407" s="2"/>
      <c r="D407" s="2" t="n">
        <f aca="false">'MJLI 22'!C5</f>
        <v>26373</v>
      </c>
      <c r="E407" s="2" t="str">
        <f aca="false">'MJLI 22'!B5</f>
        <v>RAIHAN</v>
      </c>
      <c r="F407" s="2" t="str">
        <f aca="false">'MJLI 22'!D5</f>
        <v>01733-904826</v>
      </c>
      <c r="G407" s="2" t="str">
        <f aca="false">'MJLI 22'!E5</f>
        <v>01308-844133</v>
      </c>
      <c r="H407" s="2" t="s">
        <v>14</v>
      </c>
      <c r="I407" s="2" t="s">
        <v>14</v>
      </c>
      <c r="J407" s="2" t="s">
        <v>14</v>
      </c>
      <c r="K407" s="2" t="s">
        <v>14</v>
      </c>
      <c r="L407" s="2" t="s">
        <v>14</v>
      </c>
    </row>
    <row r="408" customFormat="false" ht="15" hidden="false" customHeight="false" outlineLevel="0" collapsed="false">
      <c r="A408" s="2" t="n">
        <v>407</v>
      </c>
      <c r="B408" s="2" t="s">
        <v>44</v>
      </c>
      <c r="C408" s="2"/>
      <c r="D408" s="2" t="n">
        <f aca="false">'MJLI 22'!C6</f>
        <v>26377</v>
      </c>
      <c r="E408" s="2" t="str">
        <f aca="false">'MJLI 22'!B6</f>
        <v>MD APPLE</v>
      </c>
      <c r="F408" s="2" t="str">
        <f aca="false">'MJLI 22'!D6</f>
        <v>01608-860771</v>
      </c>
      <c r="G408" s="2" t="str">
        <f aca="false">'MJLI 22'!E6</f>
        <v>01568-532475</v>
      </c>
      <c r="H408" s="2" t="s">
        <v>14</v>
      </c>
      <c r="I408" s="2" t="s">
        <v>14</v>
      </c>
      <c r="J408" s="2" t="s">
        <v>14</v>
      </c>
      <c r="K408" s="2" t="s">
        <v>14</v>
      </c>
      <c r="L408" s="2" t="s">
        <v>14</v>
      </c>
    </row>
    <row r="409" customFormat="false" ht="15" hidden="false" customHeight="false" outlineLevel="0" collapsed="false">
      <c r="A409" s="2" t="n">
        <v>408</v>
      </c>
      <c r="B409" s="2" t="s">
        <v>44</v>
      </c>
      <c r="C409" s="2"/>
      <c r="D409" s="2" t="n">
        <f aca="false">'MJLI 22'!C7</f>
        <v>26379</v>
      </c>
      <c r="E409" s="2" t="str">
        <f aca="false">'MJLI 22'!B7</f>
        <v>MD SOBAHAN</v>
      </c>
      <c r="F409" s="2" t="str">
        <f aca="false">'MJLI 22'!D7</f>
        <v>01326-826691</v>
      </c>
      <c r="G409" s="2" t="str">
        <f aca="false">'MJLI 22'!E7</f>
        <v>01772-784432</v>
      </c>
      <c r="H409" s="2" t="s">
        <v>14</v>
      </c>
      <c r="I409" s="2" t="s">
        <v>14</v>
      </c>
      <c r="J409" s="2" t="s">
        <v>14</v>
      </c>
      <c r="K409" s="2" t="s">
        <v>14</v>
      </c>
      <c r="L409" s="2" t="s">
        <v>14</v>
      </c>
    </row>
  </sheetData>
  <autoFilter ref="A1:L4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2.5"/>
    <col collapsed="false" customWidth="true" hidden="false" outlineLevel="0" max="3" min="3" style="0" width="18.25"/>
    <col collapsed="false" customWidth="true" hidden="false" outlineLevel="0" max="4" min="4" style="0" width="25"/>
    <col collapsed="false" customWidth="true" hidden="false" outlineLevel="0" max="5" min="5" style="0" width="23.5"/>
    <col collapsed="false" customWidth="true" hidden="false" outlineLevel="0" max="6" min="6" style="0" width="17.88"/>
    <col collapsed="false" customWidth="true" hidden="false" outlineLevel="0" max="9" min="7" style="0" width="24.75"/>
  </cols>
  <sheetData>
    <row r="1" customFormat="false" ht="29.1" hidden="false" customHeight="false" outlineLevel="0" collapsed="false">
      <c r="A1" s="4" t="s">
        <v>45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17.35" hidden="false" customHeight="false" outlineLevel="0" collapsed="false">
      <c r="A2" s="6" t="s">
        <v>46</v>
      </c>
      <c r="B2" s="6"/>
      <c r="C2" s="6"/>
      <c r="D2" s="6"/>
      <c r="E2" s="6"/>
      <c r="F2" s="6" t="s">
        <v>47</v>
      </c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5.75" hidden="false" customHeight="false" outlineLevel="0" collapsed="false">
      <c r="A4" s="10" t="n">
        <v>1</v>
      </c>
      <c r="B4" s="11"/>
      <c r="C4" s="11"/>
      <c r="D4" s="11"/>
      <c r="E4" s="11"/>
      <c r="F4" s="11"/>
      <c r="G4" s="11"/>
      <c r="H4" s="11"/>
      <c r="I4" s="1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Format="false" ht="15.75" hidden="false" customHeight="false" outlineLevel="0" collapsed="false">
      <c r="A5" s="10" t="n">
        <v>2</v>
      </c>
      <c r="B5" s="12"/>
      <c r="C5" s="12"/>
      <c r="D5" s="13"/>
      <c r="E5" s="13"/>
      <c r="F5" s="13"/>
      <c r="G5" s="13"/>
      <c r="H5" s="13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15.75" hidden="false" customHeight="false" outlineLevel="0" collapsed="false">
      <c r="A6" s="10" t="n">
        <v>3</v>
      </c>
      <c r="B6" s="14"/>
      <c r="C6" s="14"/>
      <c r="D6" s="11"/>
      <c r="E6" s="11"/>
      <c r="F6" s="11"/>
      <c r="G6" s="11"/>
      <c r="H6" s="11"/>
      <c r="I6" s="1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customFormat="false" ht="15.75" hidden="false" customHeight="false" outlineLevel="0" collapsed="false">
      <c r="A7" s="10" t="n">
        <v>4</v>
      </c>
      <c r="B7" s="12"/>
      <c r="C7" s="12"/>
      <c r="D7" s="13"/>
      <c r="E7" s="13"/>
      <c r="F7" s="13"/>
      <c r="G7" s="13"/>
      <c r="H7" s="13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Format="false" ht="15.75" hidden="false" customHeight="false" outlineLevel="0" collapsed="false">
      <c r="A8" s="10" t="n">
        <v>5</v>
      </c>
      <c r="B8" s="11"/>
      <c r="C8" s="11"/>
      <c r="D8" s="11"/>
      <c r="E8" s="11"/>
      <c r="F8" s="11"/>
      <c r="G8" s="11"/>
      <c r="H8" s="11"/>
      <c r="I8" s="11"/>
      <c r="J8" s="1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customFormat="false" ht="15.75" hidden="false" customHeight="false" outlineLevel="0" collapsed="false">
      <c r="A9" s="10" t="n">
        <v>6</v>
      </c>
      <c r="B9" s="13"/>
      <c r="C9" s="13"/>
      <c r="D9" s="13"/>
      <c r="E9" s="13"/>
      <c r="F9" s="13"/>
      <c r="G9" s="13"/>
      <c r="H9" s="13"/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Format="false" ht="15.75" hidden="false" customHeight="false" outlineLevel="0" collapsed="false">
      <c r="A10" s="10" t="n">
        <v>7</v>
      </c>
      <c r="B10" s="11"/>
      <c r="C10" s="11"/>
      <c r="D10" s="11"/>
      <c r="E10" s="11"/>
      <c r="F10" s="11"/>
      <c r="G10" s="11"/>
      <c r="H10" s="11"/>
      <c r="I10" s="1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customFormat="false" ht="15.75" hidden="false" customHeight="false" outlineLevel="0" collapsed="false">
      <c r="A11" s="10" t="n">
        <v>8</v>
      </c>
      <c r="B11" s="13"/>
      <c r="C11" s="13"/>
      <c r="D11" s="13"/>
      <c r="E11" s="13"/>
      <c r="F11" s="13"/>
      <c r="G11" s="13"/>
      <c r="H11" s="13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Format="false" ht="15.75" hidden="false" customHeight="false" outlineLevel="0" collapsed="false">
      <c r="A12" s="10" t="n">
        <v>9</v>
      </c>
      <c r="B12" s="11"/>
      <c r="C12" s="11"/>
      <c r="D12" s="11"/>
      <c r="E12" s="11"/>
      <c r="F12" s="11"/>
      <c r="G12" s="11"/>
      <c r="H12" s="11"/>
      <c r="I12" s="1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Format="false" ht="15.75" hidden="false" customHeight="false" outlineLevel="0" collapsed="false">
      <c r="A13" s="10" t="n">
        <v>10</v>
      </c>
      <c r="B13" s="13"/>
      <c r="C13" s="13"/>
      <c r="D13" s="13"/>
      <c r="E13" s="13"/>
      <c r="F13" s="13"/>
      <c r="G13" s="13"/>
      <c r="H13" s="13"/>
      <c r="I13" s="1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Format="false" ht="15.75" hidden="false" customHeight="false" outlineLevel="0" collapsed="false">
      <c r="A14" s="10" t="n">
        <v>11</v>
      </c>
      <c r="B14" s="11"/>
      <c r="C14" s="11"/>
      <c r="D14" s="11"/>
      <c r="E14" s="11"/>
      <c r="F14" s="11"/>
      <c r="G14" s="11"/>
      <c r="H14" s="11"/>
      <c r="I14" s="1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customFormat="false" ht="15.75" hidden="false" customHeight="false" outlineLevel="0" collapsed="false">
      <c r="A15" s="10" t="n">
        <v>12</v>
      </c>
      <c r="B15" s="13"/>
      <c r="C15" s="13"/>
      <c r="D15" s="13"/>
      <c r="E15" s="13"/>
      <c r="F15" s="13"/>
      <c r="G15" s="13"/>
      <c r="H15" s="13"/>
      <c r="I15" s="1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customFormat="false" ht="15.75" hidden="false" customHeight="false" outlineLevel="0" collapsed="false">
      <c r="A16" s="10" t="n">
        <v>13</v>
      </c>
      <c r="B16" s="11"/>
      <c r="C16" s="11"/>
      <c r="D16" s="11"/>
      <c r="E16" s="11"/>
      <c r="F16" s="11"/>
      <c r="G16" s="11"/>
      <c r="H16" s="11"/>
      <c r="I16" s="1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5.75" hidden="false" customHeight="false" outlineLevel="0" collapsed="false">
      <c r="A17" s="10" t="n">
        <v>14</v>
      </c>
      <c r="B17" s="13"/>
      <c r="C17" s="13"/>
      <c r="D17" s="13"/>
      <c r="E17" s="13"/>
      <c r="F17" s="13"/>
      <c r="G17" s="13"/>
      <c r="H17" s="13"/>
      <c r="I17" s="1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customFormat="false" ht="15.75" hidden="false" customHeight="false" outlineLevel="0" collapsed="false">
      <c r="A18" s="10" t="n">
        <v>15</v>
      </c>
      <c r="B18" s="11"/>
      <c r="C18" s="11"/>
      <c r="D18" s="11"/>
      <c r="E18" s="11"/>
      <c r="F18" s="11"/>
      <c r="G18" s="11"/>
      <c r="H18" s="11"/>
      <c r="I18" s="1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customFormat="false" ht="15.75" hidden="false" customHeight="false" outlineLevel="0" collapsed="false">
      <c r="A19" s="10" t="n">
        <v>16</v>
      </c>
      <c r="B19" s="13"/>
      <c r="C19" s="13"/>
      <c r="D19" s="13"/>
      <c r="E19" s="13"/>
      <c r="F19" s="13"/>
      <c r="G19" s="13"/>
      <c r="H19" s="13"/>
      <c r="I19" s="1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customFormat="false" ht="15.75" hidden="false" customHeight="fals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  <c r="I20" s="1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customFormat="false" ht="15.75" hidden="false" customHeight="false" outlineLevel="0" collapsed="false">
      <c r="A21" s="10" t="s">
        <v>54</v>
      </c>
      <c r="B21" s="13"/>
      <c r="C21" s="13"/>
      <c r="D21" s="13"/>
      <c r="E21" s="13"/>
      <c r="F21" s="13"/>
      <c r="G21" s="13"/>
      <c r="H21" s="13"/>
      <c r="I21" s="1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customFormat="false" ht="15.75" hidden="false" customHeight="false" outlineLevel="0" collapsed="false">
      <c r="A22" s="10" t="n">
        <v>19</v>
      </c>
      <c r="B22" s="11"/>
      <c r="C22" s="11"/>
      <c r="D22" s="11"/>
      <c r="E22" s="11"/>
      <c r="F22" s="11"/>
      <c r="G22" s="11"/>
      <c r="H22" s="11"/>
      <c r="I22" s="1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customFormat="false" ht="15.75" hidden="false" customHeight="false" outlineLevel="0" collapsed="false">
      <c r="A23" s="10" t="n">
        <v>20</v>
      </c>
      <c r="B23" s="13"/>
      <c r="C23" s="13"/>
      <c r="D23" s="13"/>
      <c r="E23" s="13"/>
      <c r="F23" s="13"/>
      <c r="G23" s="13"/>
      <c r="H23" s="13"/>
      <c r="I23" s="1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customFormat="false" ht="15.75" hidden="false" customHeight="false" outlineLevel="0" collapsed="false">
      <c r="A24" s="10" t="n">
        <v>21</v>
      </c>
      <c r="B24" s="11"/>
      <c r="C24" s="11"/>
      <c r="D24" s="11"/>
      <c r="E24" s="11"/>
      <c r="F24" s="11"/>
      <c r="G24" s="11"/>
      <c r="H24" s="11"/>
      <c r="I24" s="11"/>
      <c r="J24" s="5"/>
      <c r="K24" s="5" t="s">
        <v>55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customFormat="false" ht="15.75" hidden="false" customHeight="false" outlineLevel="0" collapsed="false">
      <c r="A25" s="10" t="n">
        <v>22</v>
      </c>
      <c r="B25" s="13"/>
      <c r="C25" s="13"/>
      <c r="D25" s="13"/>
      <c r="E25" s="13"/>
      <c r="F25" s="13"/>
      <c r="G25" s="13"/>
      <c r="H25" s="13"/>
      <c r="I25" s="1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Format="false" ht="15.75" hidden="false" customHeight="false" outlineLevel="0" collapsed="false">
      <c r="A26" s="10" t="n">
        <v>23</v>
      </c>
      <c r="B26" s="11"/>
      <c r="C26" s="11"/>
      <c r="D26" s="11"/>
      <c r="E26" s="11"/>
      <c r="F26" s="11"/>
      <c r="G26" s="11"/>
      <c r="H26" s="11"/>
      <c r="I26" s="1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customFormat="false" ht="15.75" hidden="false" customHeight="false" outlineLevel="0" collapsed="false">
      <c r="A27" s="10"/>
      <c r="B27" s="13"/>
      <c r="C27" s="13"/>
      <c r="D27" s="13"/>
      <c r="E27" s="13"/>
      <c r="F27" s="13"/>
      <c r="G27" s="13"/>
      <c r="H27" s="13"/>
      <c r="I27" s="1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15.75" hidden="false" customHeight="fals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 t="s">
        <v>56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Format="false" ht="15.75" hidden="false" customHeight="false" outlineLevel="0" collapsed="false">
      <c r="A33" s="15"/>
      <c r="B33" s="15"/>
      <c r="C33" s="15"/>
      <c r="D33" s="15"/>
      <c r="E33" s="15"/>
      <c r="F33" s="15"/>
      <c r="G33" s="16"/>
      <c r="H33" s="15"/>
      <c r="I33" s="15"/>
      <c r="J33" s="15"/>
      <c r="K33" s="15"/>
      <c r="L33" s="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customFormat="false" ht="15.7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34.88"/>
    <col collapsed="false" customWidth="true" hidden="false" outlineLevel="0" max="4" min="4" style="0" width="37.13"/>
    <col collapsed="false" customWidth="true" hidden="false" outlineLevel="0" max="5" min="5" style="0" width="24.51"/>
    <col collapsed="false" customWidth="true" hidden="false" outlineLevel="0" max="6" min="6" style="0" width="19.88"/>
  </cols>
  <sheetData>
    <row r="1" customFormat="false" ht="55.5" hidden="false" customHeight="true" outlineLevel="0" collapsed="false">
      <c r="A1" s="17" t="s">
        <v>57</v>
      </c>
      <c r="B1" s="17"/>
      <c r="C1" s="17"/>
      <c r="D1" s="17"/>
      <c r="E1" s="17"/>
      <c r="F1" s="18"/>
    </row>
    <row r="2" customFormat="false" ht="15.75" hidden="false" customHeight="false" outlineLevel="0" collapsed="false">
      <c r="A2" s="19" t="s">
        <v>58</v>
      </c>
      <c r="B2" s="19" t="s">
        <v>59</v>
      </c>
      <c r="C2" s="19" t="s">
        <v>60</v>
      </c>
      <c r="D2" s="19" t="s">
        <v>61</v>
      </c>
      <c r="E2" s="19" t="s">
        <v>62</v>
      </c>
      <c r="F2" s="19" t="s">
        <v>63</v>
      </c>
    </row>
    <row r="3" customFormat="false" ht="15.75" hidden="false" customHeight="false" outlineLevel="0" collapsed="false">
      <c r="A3" s="20" t="n">
        <v>1</v>
      </c>
      <c r="B3" s="20" t="n">
        <v>143</v>
      </c>
      <c r="C3" s="21" t="s">
        <v>64</v>
      </c>
      <c r="D3" s="21" t="s">
        <v>65</v>
      </c>
      <c r="E3" s="22"/>
      <c r="F3" s="23" t="n">
        <v>46113</v>
      </c>
    </row>
    <row r="4" customFormat="false" ht="15.75" hidden="false" customHeight="false" outlineLevel="0" collapsed="false">
      <c r="A4" s="24" t="n">
        <v>2</v>
      </c>
      <c r="B4" s="24" t="n">
        <v>139</v>
      </c>
      <c r="C4" s="25" t="s">
        <v>66</v>
      </c>
      <c r="D4" s="25" t="s">
        <v>67</v>
      </c>
      <c r="E4" s="22"/>
      <c r="F4" s="23" t="n">
        <v>46113</v>
      </c>
    </row>
    <row r="5" customFormat="false" ht="15.75" hidden="false" customHeight="false" outlineLevel="0" collapsed="false">
      <c r="A5" s="20" t="n">
        <v>3</v>
      </c>
      <c r="B5" s="20" t="n">
        <v>155</v>
      </c>
      <c r="C5" s="21" t="s">
        <v>68</v>
      </c>
      <c r="D5" s="21" t="s">
        <v>69</v>
      </c>
      <c r="E5" s="22"/>
      <c r="F5" s="26"/>
    </row>
    <row r="6" customFormat="false" ht="15.75" hidden="false" customHeight="false" outlineLevel="0" collapsed="false">
      <c r="A6" s="24" t="n">
        <v>4</v>
      </c>
      <c r="B6" s="24" t="n">
        <v>173</v>
      </c>
      <c r="C6" s="25" t="s">
        <v>70</v>
      </c>
      <c r="D6" s="25" t="s">
        <v>71</v>
      </c>
      <c r="E6" s="22"/>
      <c r="F6" s="23" t="n">
        <v>46113</v>
      </c>
    </row>
    <row r="7" customFormat="false" ht="15.75" hidden="false" customHeight="false" outlineLevel="0" collapsed="false">
      <c r="A7" s="20" t="n">
        <v>5</v>
      </c>
      <c r="B7" s="20" t="n">
        <v>170</v>
      </c>
      <c r="C7" s="21" t="s">
        <v>72</v>
      </c>
      <c r="D7" s="21" t="s">
        <v>73</v>
      </c>
      <c r="E7" s="27" t="s">
        <v>74</v>
      </c>
      <c r="F7" s="23" t="n">
        <v>46113</v>
      </c>
    </row>
    <row r="8" customFormat="false" ht="15.75" hidden="false" customHeight="false" outlineLevel="0" collapsed="false">
      <c r="A8" s="24" t="n">
        <v>6</v>
      </c>
      <c r="B8" s="24" t="n">
        <v>203</v>
      </c>
      <c r="C8" s="25" t="s">
        <v>75</v>
      </c>
      <c r="D8" s="25" t="s">
        <v>76</v>
      </c>
      <c r="E8" s="27" t="s">
        <v>77</v>
      </c>
      <c r="F8" s="23" t="n">
        <v>46113</v>
      </c>
    </row>
    <row r="9" customFormat="false" ht="15.75" hidden="false" customHeight="false" outlineLevel="0" collapsed="false">
      <c r="A9" s="20" t="n">
        <v>7</v>
      </c>
      <c r="B9" s="20" t="n">
        <v>25201</v>
      </c>
      <c r="C9" s="21" t="s">
        <v>78</v>
      </c>
      <c r="D9" s="21" t="s">
        <v>79</v>
      </c>
      <c r="E9" s="22"/>
      <c r="F9" s="23" t="n">
        <v>46296</v>
      </c>
    </row>
    <row r="10" customFormat="false" ht="15.75" hidden="false" customHeight="false" outlineLevel="0" collapsed="false">
      <c r="A10" s="24" t="n">
        <v>8</v>
      </c>
      <c r="B10" s="24" t="n">
        <v>180</v>
      </c>
      <c r="C10" s="25" t="s">
        <v>80</v>
      </c>
      <c r="D10" s="25" t="s">
        <v>81</v>
      </c>
      <c r="E10" s="22"/>
      <c r="F10" s="23" t="n">
        <v>46113</v>
      </c>
    </row>
    <row r="11" customFormat="false" ht="15.75" hidden="false" customHeight="false" outlineLevel="0" collapsed="false">
      <c r="A11" s="20" t="n">
        <v>9</v>
      </c>
      <c r="B11" s="20" t="n">
        <v>25202</v>
      </c>
      <c r="C11" s="21" t="s">
        <v>82</v>
      </c>
      <c r="D11" s="21" t="s">
        <v>83</v>
      </c>
      <c r="E11" s="22"/>
      <c r="F11" s="26"/>
    </row>
    <row r="12" customFormat="false" ht="15.75" hidden="false" customHeight="false" outlineLevel="0" collapsed="false">
      <c r="A12" s="24" t="n">
        <v>10</v>
      </c>
      <c r="B12" s="24" t="n">
        <v>185</v>
      </c>
      <c r="C12" s="25" t="s">
        <v>84</v>
      </c>
      <c r="D12" s="25" t="s">
        <v>85</v>
      </c>
      <c r="E12" s="22"/>
      <c r="F12" s="23"/>
    </row>
    <row r="13" customFormat="false" ht="15.75" hidden="false" customHeight="false" outlineLevel="0" collapsed="false">
      <c r="A13" s="20" t="n">
        <v>11</v>
      </c>
      <c r="B13" s="20" t="n">
        <v>184</v>
      </c>
      <c r="C13" s="21" t="s">
        <v>86</v>
      </c>
      <c r="D13" s="21" t="s">
        <v>87</v>
      </c>
      <c r="E13" s="22"/>
      <c r="F13" s="23" t="n">
        <v>46113</v>
      </c>
    </row>
    <row r="14" customFormat="false" ht="15.75" hidden="false" customHeight="false" outlineLevel="0" collapsed="false">
      <c r="A14" s="24" t="n">
        <v>12</v>
      </c>
      <c r="B14" s="24" t="n">
        <v>205</v>
      </c>
      <c r="C14" s="25" t="s">
        <v>88</v>
      </c>
      <c r="D14" s="25" t="s">
        <v>89</v>
      </c>
      <c r="E14" s="22"/>
      <c r="F14" s="23" t="n">
        <v>46113</v>
      </c>
    </row>
    <row r="15" customFormat="false" ht="15.75" hidden="false" customHeight="false" outlineLevel="0" collapsed="false">
      <c r="A15" s="20" t="n">
        <v>13</v>
      </c>
      <c r="B15" s="20" t="n">
        <v>193</v>
      </c>
      <c r="C15" s="21" t="s">
        <v>90</v>
      </c>
      <c r="D15" s="21" t="s">
        <v>91</v>
      </c>
      <c r="E15" s="22"/>
      <c r="F15" s="23" t="n">
        <v>46113</v>
      </c>
    </row>
    <row r="16" customFormat="false" ht="15.75" hidden="false" customHeight="false" outlineLevel="0" collapsed="false">
      <c r="A16" s="24" t="n">
        <v>14</v>
      </c>
      <c r="B16" s="24" t="n">
        <v>211</v>
      </c>
      <c r="C16" s="25" t="s">
        <v>92</v>
      </c>
      <c r="D16" s="25" t="s">
        <v>93</v>
      </c>
      <c r="E16" s="22"/>
      <c r="F16" s="23" t="n">
        <v>46114</v>
      </c>
    </row>
    <row r="17" customFormat="false" ht="15.75" hidden="false" customHeight="false" outlineLevel="0" collapsed="false">
      <c r="A17" s="20" t="n">
        <v>15</v>
      </c>
      <c r="B17" s="20" t="n">
        <v>208</v>
      </c>
      <c r="C17" s="21" t="s">
        <v>94</v>
      </c>
      <c r="D17" s="21" t="s">
        <v>95</v>
      </c>
      <c r="E17" s="22"/>
      <c r="F17" s="26"/>
    </row>
    <row r="18" customFormat="false" ht="15.75" hidden="false" customHeight="false" outlineLevel="0" collapsed="false">
      <c r="A18" s="24" t="n">
        <v>16</v>
      </c>
      <c r="B18" s="24" t="n">
        <v>220</v>
      </c>
      <c r="C18" s="25" t="s">
        <v>96</v>
      </c>
      <c r="D18" s="25" t="s">
        <v>97</v>
      </c>
      <c r="E18" s="22"/>
      <c r="F18" s="23" t="n">
        <v>46296</v>
      </c>
    </row>
    <row r="19" customFormat="false" ht="15.75" hidden="false" customHeight="false" outlineLevel="0" collapsed="false">
      <c r="A19" s="20" t="n">
        <v>17</v>
      </c>
      <c r="B19" s="20" t="n">
        <v>221</v>
      </c>
      <c r="C19" s="21" t="s">
        <v>98</v>
      </c>
      <c r="D19" s="21" t="s">
        <v>99</v>
      </c>
      <c r="E19" s="27" t="s">
        <v>74</v>
      </c>
      <c r="F19" s="23" t="n">
        <v>46113</v>
      </c>
    </row>
    <row r="20" customFormat="false" ht="15.75" hidden="false" customHeight="false" outlineLevel="0" collapsed="false">
      <c r="A20" s="24" t="n">
        <v>18</v>
      </c>
      <c r="B20" s="24" t="n">
        <v>231</v>
      </c>
      <c r="C20" s="25" t="s">
        <v>100</v>
      </c>
      <c r="D20" s="25" t="s">
        <v>101</v>
      </c>
      <c r="E20" s="27" t="s">
        <v>77</v>
      </c>
      <c r="F20" s="23" t="n">
        <v>46113</v>
      </c>
    </row>
    <row r="21" customFormat="false" ht="15.75" hidden="false" customHeight="false" outlineLevel="0" collapsed="false">
      <c r="A21" s="20" t="n">
        <v>19</v>
      </c>
      <c r="B21" s="20" t="n">
        <v>229</v>
      </c>
      <c r="C21" s="21" t="s">
        <v>102</v>
      </c>
      <c r="D21" s="21" t="s">
        <v>103</v>
      </c>
      <c r="E21" s="27" t="s">
        <v>104</v>
      </c>
      <c r="F21" s="23" t="n">
        <v>46114</v>
      </c>
    </row>
    <row r="22" customFormat="false" ht="15.75" hidden="false" customHeight="false" outlineLevel="0" collapsed="false">
      <c r="A22" s="24" t="n">
        <v>20</v>
      </c>
      <c r="B22" s="24" t="n">
        <v>25112</v>
      </c>
      <c r="C22" s="25" t="s">
        <v>105</v>
      </c>
      <c r="D22" s="28"/>
      <c r="E22" s="27" t="s">
        <v>18</v>
      </c>
      <c r="F22" s="23"/>
    </row>
    <row r="23" customFormat="false" ht="15.75" hidden="false" customHeight="false" outlineLevel="0" collapsed="false">
      <c r="A23" s="20" t="n">
        <v>21</v>
      </c>
      <c r="B23" s="20" t="n">
        <v>25113</v>
      </c>
      <c r="C23" s="21" t="s">
        <v>106</v>
      </c>
      <c r="D23" s="21" t="s">
        <v>107</v>
      </c>
      <c r="E23" s="27" t="s">
        <v>18</v>
      </c>
      <c r="F23" s="23" t="n">
        <v>46114</v>
      </c>
    </row>
    <row r="24" customFormat="false" ht="15.75" hidden="false" customHeight="false" outlineLevel="0" collapsed="false">
      <c r="A24" s="24" t="n">
        <v>22</v>
      </c>
      <c r="B24" s="24" t="n">
        <v>25114</v>
      </c>
      <c r="C24" s="25" t="s">
        <v>108</v>
      </c>
      <c r="D24" s="25" t="s">
        <v>109</v>
      </c>
      <c r="E24" s="27" t="s">
        <v>18</v>
      </c>
      <c r="F24" s="23" t="n">
        <v>46296</v>
      </c>
    </row>
    <row r="25" customFormat="false" ht="15.75" hidden="false" customHeight="false" outlineLevel="0" collapsed="false">
      <c r="A25" s="20" t="n">
        <v>23</v>
      </c>
      <c r="B25" s="20" t="n">
        <v>25115</v>
      </c>
      <c r="C25" s="21" t="s">
        <v>110</v>
      </c>
      <c r="D25" s="21" t="s">
        <v>111</v>
      </c>
      <c r="E25" s="27" t="s">
        <v>18</v>
      </c>
      <c r="F25" s="23" t="n">
        <v>46113</v>
      </c>
    </row>
    <row r="26" customFormat="false" ht="15.75" hidden="false" customHeight="false" outlineLevel="0" collapsed="false">
      <c r="A26" s="24" t="n">
        <v>24</v>
      </c>
      <c r="B26" s="24" t="n">
        <v>25111</v>
      </c>
      <c r="C26" s="25" t="s">
        <v>112</v>
      </c>
      <c r="D26" s="25" t="s">
        <v>113</v>
      </c>
      <c r="E26" s="27" t="s">
        <v>104</v>
      </c>
      <c r="F26" s="23" t="n">
        <v>46114</v>
      </c>
    </row>
    <row r="27" customFormat="false" ht="15.75" hidden="false" customHeight="false" outlineLevel="0" collapsed="false">
      <c r="A27" s="20" t="n">
        <v>25</v>
      </c>
      <c r="B27" s="20" t="n">
        <v>25130</v>
      </c>
      <c r="C27" s="21" t="s">
        <v>114</v>
      </c>
      <c r="D27" s="21" t="s">
        <v>115</v>
      </c>
      <c r="E27" s="27" t="s">
        <v>18</v>
      </c>
      <c r="F27" s="23" t="n">
        <v>46113</v>
      </c>
    </row>
    <row r="28" customFormat="false" ht="15.75" hidden="false" customHeight="false" outlineLevel="0" collapsed="false">
      <c r="A28" s="24" t="n">
        <v>26</v>
      </c>
      <c r="B28" s="24" t="n">
        <v>25131</v>
      </c>
      <c r="C28" s="25" t="s">
        <v>116</v>
      </c>
      <c r="D28" s="25" t="s">
        <v>117</v>
      </c>
      <c r="E28" s="27" t="s">
        <v>118</v>
      </c>
      <c r="F28" s="23" t="n">
        <v>46204</v>
      </c>
    </row>
    <row r="29" customFormat="false" ht="15.75" hidden="false" customHeight="false" outlineLevel="0" collapsed="false">
      <c r="A29" s="20" t="n">
        <v>27</v>
      </c>
      <c r="B29" s="20" t="n">
        <v>25135</v>
      </c>
      <c r="C29" s="21" t="s">
        <v>119</v>
      </c>
      <c r="D29" s="29"/>
      <c r="E29" s="27" t="s">
        <v>104</v>
      </c>
      <c r="F29" s="23" t="n">
        <v>46113</v>
      </c>
    </row>
    <row r="30" customFormat="false" ht="15.75" hidden="false" customHeight="false" outlineLevel="0" collapsed="false">
      <c r="A30" s="24" t="n">
        <v>28</v>
      </c>
      <c r="B30" s="24" t="n">
        <v>25139</v>
      </c>
      <c r="C30" s="25" t="s">
        <v>120</v>
      </c>
      <c r="D30" s="25" t="s">
        <v>121</v>
      </c>
      <c r="E30" s="27" t="s">
        <v>18</v>
      </c>
      <c r="F30" s="26"/>
    </row>
    <row r="31" customFormat="false" ht="15.75" hidden="false" customHeight="false" outlineLevel="0" collapsed="false">
      <c r="A31" s="20" t="n">
        <v>29</v>
      </c>
      <c r="B31" s="20" t="n">
        <v>25140</v>
      </c>
      <c r="C31" s="21" t="s">
        <v>122</v>
      </c>
      <c r="D31" s="21" t="s">
        <v>123</v>
      </c>
      <c r="E31" s="27" t="s">
        <v>18</v>
      </c>
      <c r="F31" s="23" t="n">
        <v>46113</v>
      </c>
    </row>
    <row r="32" customFormat="false" ht="15.75" hidden="false" customHeight="false" outlineLevel="0" collapsed="false">
      <c r="A32" s="24" t="n">
        <v>30</v>
      </c>
      <c r="B32" s="24" t="n">
        <v>25142</v>
      </c>
      <c r="C32" s="25" t="s">
        <v>124</v>
      </c>
      <c r="D32" s="25" t="s">
        <v>125</v>
      </c>
      <c r="E32" s="27" t="s">
        <v>74</v>
      </c>
      <c r="F32" s="23" t="n">
        <v>46113</v>
      </c>
    </row>
    <row r="33" customFormat="false" ht="15.75" hidden="false" customHeight="false" outlineLevel="0" collapsed="false">
      <c r="A33" s="20" t="n">
        <v>31</v>
      </c>
      <c r="B33" s="20" t="n">
        <v>25146</v>
      </c>
      <c r="C33" s="21" t="s">
        <v>126</v>
      </c>
      <c r="D33" s="21" t="s">
        <v>127</v>
      </c>
      <c r="E33" s="27" t="s">
        <v>23</v>
      </c>
      <c r="F33" s="26"/>
    </row>
    <row r="34" customFormat="false" ht="15.75" hidden="false" customHeight="false" outlineLevel="0" collapsed="false">
      <c r="A34" s="24" t="n">
        <v>32</v>
      </c>
      <c r="B34" s="24" t="n">
        <v>25149</v>
      </c>
      <c r="C34" s="21" t="s">
        <v>128</v>
      </c>
      <c r="D34" s="30" t="s">
        <v>129</v>
      </c>
      <c r="E34" s="27" t="s">
        <v>18</v>
      </c>
      <c r="F34" s="26"/>
    </row>
    <row r="35" customFormat="false" ht="15.75" hidden="false" customHeight="false" outlineLevel="0" collapsed="false">
      <c r="A35" s="20" t="n">
        <v>33</v>
      </c>
      <c r="B35" s="20" t="n">
        <v>25153</v>
      </c>
      <c r="C35" s="21" t="s">
        <v>130</v>
      </c>
      <c r="D35" s="21" t="s">
        <v>131</v>
      </c>
      <c r="E35" s="27" t="s">
        <v>22</v>
      </c>
      <c r="F35" s="23" t="n">
        <v>46296</v>
      </c>
    </row>
    <row r="36" customFormat="false" ht="15.75" hidden="false" customHeight="false" outlineLevel="0" collapsed="false">
      <c r="A36" s="24" t="n">
        <v>34</v>
      </c>
      <c r="B36" s="24" t="n">
        <v>25155</v>
      </c>
      <c r="C36" s="25" t="s">
        <v>132</v>
      </c>
      <c r="D36" s="25" t="s">
        <v>133</v>
      </c>
      <c r="E36" s="27" t="s">
        <v>18</v>
      </c>
      <c r="F36" s="23" t="n">
        <v>46113</v>
      </c>
    </row>
    <row r="37" customFormat="false" ht="15.75" hidden="false" customHeight="false" outlineLevel="0" collapsed="false">
      <c r="A37" s="20" t="n">
        <v>35</v>
      </c>
      <c r="B37" s="20" t="n">
        <v>25157</v>
      </c>
      <c r="C37" s="21" t="s">
        <v>134</v>
      </c>
      <c r="D37" s="21" t="s">
        <v>135</v>
      </c>
      <c r="E37" s="27" t="s">
        <v>22</v>
      </c>
      <c r="F37" s="26"/>
    </row>
    <row r="38" customFormat="false" ht="15.75" hidden="false" customHeight="false" outlineLevel="0" collapsed="false">
      <c r="A38" s="24" t="n">
        <v>36</v>
      </c>
      <c r="B38" s="24" t="n">
        <v>25159</v>
      </c>
      <c r="C38" s="30" t="s">
        <v>136</v>
      </c>
      <c r="D38" s="25" t="s">
        <v>137</v>
      </c>
      <c r="E38" s="27" t="s">
        <v>22</v>
      </c>
      <c r="F38" s="26"/>
    </row>
    <row r="39" customFormat="false" ht="15.75" hidden="false" customHeight="false" outlineLevel="0" collapsed="false">
      <c r="A39" s="20" t="n">
        <v>37</v>
      </c>
      <c r="B39" s="20" t="n">
        <v>25158</v>
      </c>
      <c r="C39" s="31" t="s">
        <v>138</v>
      </c>
      <c r="D39" s="21" t="s">
        <v>139</v>
      </c>
      <c r="E39" s="27" t="s">
        <v>22</v>
      </c>
      <c r="F39" s="26"/>
    </row>
    <row r="40" customFormat="false" ht="15.75" hidden="false" customHeight="false" outlineLevel="0" collapsed="false">
      <c r="A40" s="24" t="n">
        <v>38</v>
      </c>
      <c r="B40" s="24" t="n">
        <v>25161</v>
      </c>
      <c r="C40" s="25" t="s">
        <v>140</v>
      </c>
      <c r="D40" s="25" t="s">
        <v>141</v>
      </c>
      <c r="E40" s="27" t="s">
        <v>23</v>
      </c>
      <c r="F40" s="26"/>
    </row>
    <row r="41" customFormat="false" ht="15.75" hidden="false" customHeight="false" outlineLevel="0" collapsed="false">
      <c r="A41" s="20" t="n">
        <v>39</v>
      </c>
      <c r="B41" s="20" t="n">
        <v>25171</v>
      </c>
      <c r="C41" s="21" t="s">
        <v>142</v>
      </c>
      <c r="D41" s="21" t="s">
        <v>143</v>
      </c>
      <c r="E41" s="27" t="s">
        <v>23</v>
      </c>
      <c r="F41" s="26"/>
    </row>
    <row r="42" customFormat="false" ht="15.75" hidden="false" customHeight="false" outlineLevel="0" collapsed="false">
      <c r="A42" s="24" t="n">
        <v>40</v>
      </c>
      <c r="B42" s="24" t="n">
        <v>25173</v>
      </c>
      <c r="C42" s="25" t="s">
        <v>144</v>
      </c>
      <c r="D42" s="25" t="s">
        <v>145</v>
      </c>
      <c r="E42" s="27" t="s">
        <v>23</v>
      </c>
      <c r="F42" s="26"/>
    </row>
    <row r="43" customFormat="false" ht="15.75" hidden="false" customHeight="false" outlineLevel="0" collapsed="false">
      <c r="A43" s="20" t="n">
        <v>41</v>
      </c>
      <c r="B43" s="20" t="n">
        <v>25175</v>
      </c>
      <c r="C43" s="21" t="s">
        <v>146</v>
      </c>
      <c r="D43" s="21" t="s">
        <v>147</v>
      </c>
      <c r="E43" s="27" t="s">
        <v>148</v>
      </c>
      <c r="F43" s="26"/>
    </row>
    <row r="44" customFormat="false" ht="15.75" hidden="false" customHeight="false" outlineLevel="0" collapsed="false">
      <c r="A44" s="24" t="n">
        <v>42</v>
      </c>
      <c r="B44" s="24" t="n">
        <v>25178</v>
      </c>
      <c r="C44" s="25" t="s">
        <v>149</v>
      </c>
      <c r="D44" s="25" t="s">
        <v>150</v>
      </c>
      <c r="E44" s="27" t="s">
        <v>24</v>
      </c>
      <c r="F44" s="26"/>
    </row>
    <row r="45" customFormat="false" ht="15.75" hidden="false" customHeight="false" outlineLevel="0" collapsed="false">
      <c r="A45" s="20" t="n">
        <v>43</v>
      </c>
      <c r="B45" s="20" t="n">
        <v>25182</v>
      </c>
      <c r="C45" s="21" t="s">
        <v>78</v>
      </c>
      <c r="D45" s="21" t="s">
        <v>151</v>
      </c>
      <c r="E45" s="27" t="s">
        <v>23</v>
      </c>
      <c r="F45" s="23" t="n">
        <v>46296</v>
      </c>
    </row>
    <row r="46" customFormat="false" ht="15.75" hidden="false" customHeight="false" outlineLevel="0" collapsed="false">
      <c r="A46" s="24" t="n">
        <v>44</v>
      </c>
      <c r="B46" s="24" t="n">
        <v>25183</v>
      </c>
      <c r="C46" s="25" t="s">
        <v>152</v>
      </c>
      <c r="D46" s="25" t="s">
        <v>153</v>
      </c>
      <c r="E46" s="27" t="s">
        <v>104</v>
      </c>
      <c r="F46" s="23" t="n">
        <v>46113</v>
      </c>
    </row>
    <row r="47" customFormat="false" ht="15.75" hidden="false" customHeight="false" outlineLevel="0" collapsed="false">
      <c r="A47" s="20" t="n">
        <v>45</v>
      </c>
      <c r="B47" s="20" t="n">
        <v>25187</v>
      </c>
      <c r="C47" s="21" t="s">
        <v>154</v>
      </c>
      <c r="D47" s="21" t="s">
        <v>155</v>
      </c>
      <c r="E47" s="27" t="s">
        <v>24</v>
      </c>
      <c r="F47" s="26"/>
    </row>
    <row r="48" customFormat="false" ht="15.75" hidden="false" customHeight="false" outlineLevel="0" collapsed="false">
      <c r="A48" s="24" t="n">
        <v>46</v>
      </c>
      <c r="B48" s="24" t="n">
        <v>25184</v>
      </c>
      <c r="C48" s="21" t="s">
        <v>156</v>
      </c>
      <c r="D48" s="21" t="s">
        <v>157</v>
      </c>
      <c r="E48" s="27" t="s">
        <v>22</v>
      </c>
      <c r="F48" s="26"/>
    </row>
    <row r="49" customFormat="false" ht="15.75" hidden="false" customHeight="false" outlineLevel="0" collapsed="false">
      <c r="A49" s="20" t="n">
        <v>47</v>
      </c>
      <c r="B49" s="20" t="n">
        <v>25190</v>
      </c>
      <c r="C49" s="21" t="s">
        <v>158</v>
      </c>
      <c r="D49" s="21" t="s">
        <v>159</v>
      </c>
      <c r="E49" s="27" t="s">
        <v>24</v>
      </c>
      <c r="F49" s="26"/>
    </row>
    <row r="50" customFormat="false" ht="15.75" hidden="false" customHeight="false" outlineLevel="0" collapsed="false">
      <c r="A50" s="24" t="n">
        <v>48</v>
      </c>
      <c r="B50" s="24" t="n">
        <v>25191</v>
      </c>
      <c r="C50" s="25" t="s">
        <v>160</v>
      </c>
      <c r="D50" s="25" t="s">
        <v>161</v>
      </c>
      <c r="E50" s="27" t="s">
        <v>24</v>
      </c>
      <c r="F50" s="23" t="n">
        <v>46296</v>
      </c>
    </row>
    <row r="51" customFormat="false" ht="15.75" hidden="false" customHeight="false" outlineLevel="0" collapsed="false">
      <c r="A51" s="20" t="n">
        <v>49</v>
      </c>
      <c r="B51" s="20" t="n">
        <v>25192</v>
      </c>
      <c r="C51" s="21" t="s">
        <v>162</v>
      </c>
      <c r="D51" s="21" t="s">
        <v>163</v>
      </c>
      <c r="E51" s="27" t="s">
        <v>24</v>
      </c>
      <c r="F51" s="26"/>
    </row>
    <row r="52" customFormat="false" ht="15.75" hidden="false" customHeight="false" outlineLevel="0" collapsed="false">
      <c r="A52" s="24" t="n">
        <v>50</v>
      </c>
      <c r="B52" s="24" t="n">
        <v>25193</v>
      </c>
      <c r="C52" s="25" t="s">
        <v>164</v>
      </c>
      <c r="D52" s="25" t="s">
        <v>165</v>
      </c>
      <c r="E52" s="27" t="s">
        <v>24</v>
      </c>
      <c r="F52" s="23" t="n">
        <v>46296</v>
      </c>
    </row>
    <row r="53" customFormat="false" ht="15.75" hidden="false" customHeight="false" outlineLevel="0" collapsed="false">
      <c r="A53" s="20" t="n">
        <v>51</v>
      </c>
      <c r="B53" s="20" t="n">
        <v>25194</v>
      </c>
      <c r="C53" s="21" t="s">
        <v>166</v>
      </c>
      <c r="D53" s="21" t="s">
        <v>167</v>
      </c>
      <c r="E53" s="27" t="s">
        <v>118</v>
      </c>
      <c r="F53" s="26"/>
    </row>
    <row r="54" customFormat="false" ht="15.75" hidden="false" customHeight="false" outlineLevel="0" collapsed="false">
      <c r="A54" s="24" t="n">
        <v>52</v>
      </c>
      <c r="B54" s="24" t="n">
        <v>25195</v>
      </c>
      <c r="C54" s="25" t="s">
        <v>168</v>
      </c>
      <c r="D54" s="25" t="s">
        <v>169</v>
      </c>
      <c r="E54" s="27" t="s">
        <v>22</v>
      </c>
      <c r="F54" s="23" t="n">
        <v>46204</v>
      </c>
    </row>
    <row r="55" customFormat="false" ht="15.75" hidden="false" customHeight="false" outlineLevel="0" collapsed="false">
      <c r="A55" s="20" t="n">
        <v>53</v>
      </c>
      <c r="B55" s="20" t="n">
        <v>25197</v>
      </c>
      <c r="C55" s="21" t="s">
        <v>170</v>
      </c>
      <c r="D55" s="21" t="s">
        <v>171</v>
      </c>
      <c r="E55" s="27" t="s">
        <v>26</v>
      </c>
      <c r="F55" s="26"/>
    </row>
    <row r="56" customFormat="false" ht="15.75" hidden="false" customHeight="false" outlineLevel="0" collapsed="false">
      <c r="A56" s="24" t="n">
        <v>54</v>
      </c>
      <c r="B56" s="24" t="n">
        <v>25199</v>
      </c>
      <c r="C56" s="25" t="s">
        <v>172</v>
      </c>
      <c r="D56" s="25" t="s">
        <v>173</v>
      </c>
      <c r="E56" s="27" t="s">
        <v>26</v>
      </c>
      <c r="F56" s="26"/>
    </row>
    <row r="57" customFormat="false" ht="15.75" hidden="false" customHeight="false" outlineLevel="0" collapsed="false">
      <c r="A57" s="20" t="n">
        <v>55</v>
      </c>
      <c r="B57" s="20" t="n">
        <v>25203</v>
      </c>
      <c r="C57" s="21" t="s">
        <v>174</v>
      </c>
      <c r="D57" s="29"/>
      <c r="E57" s="27" t="s">
        <v>104</v>
      </c>
      <c r="F57" s="23" t="n">
        <v>46113</v>
      </c>
    </row>
    <row r="58" customFormat="false" ht="15.75" hidden="false" customHeight="false" outlineLevel="0" collapsed="false">
      <c r="A58" s="24" t="n">
        <v>56</v>
      </c>
      <c r="B58" s="24" t="n">
        <v>25204</v>
      </c>
      <c r="C58" s="25" t="s">
        <v>175</v>
      </c>
      <c r="D58" s="28"/>
      <c r="E58" s="27" t="s">
        <v>104</v>
      </c>
      <c r="F58" s="23" t="n">
        <v>46113</v>
      </c>
    </row>
    <row r="59" customFormat="false" ht="15.75" hidden="false" customHeight="false" outlineLevel="0" collapsed="false">
      <c r="A59" s="20" t="n">
        <v>57</v>
      </c>
      <c r="B59" s="20" t="n">
        <v>25206</v>
      </c>
      <c r="C59" s="21" t="s">
        <v>176</v>
      </c>
      <c r="D59" s="21" t="s">
        <v>177</v>
      </c>
      <c r="E59" s="27" t="s">
        <v>26</v>
      </c>
      <c r="F59" s="23" t="n">
        <v>46296</v>
      </c>
    </row>
    <row r="60" customFormat="false" ht="15.75" hidden="false" customHeight="false" outlineLevel="0" collapsed="false">
      <c r="A60" s="24" t="n">
        <v>58</v>
      </c>
      <c r="B60" s="24" t="n">
        <v>25208</v>
      </c>
      <c r="C60" s="25" t="s">
        <v>178</v>
      </c>
      <c r="D60" s="25" t="s">
        <v>179</v>
      </c>
      <c r="E60" s="27" t="s">
        <v>26</v>
      </c>
      <c r="F60" s="26"/>
    </row>
    <row r="61" customFormat="false" ht="15.75" hidden="false" customHeight="false" outlineLevel="0" collapsed="false">
      <c r="A61" s="20" t="n">
        <v>59</v>
      </c>
      <c r="B61" s="20" t="n">
        <v>25209</v>
      </c>
      <c r="C61" s="21" t="s">
        <v>180</v>
      </c>
      <c r="D61" s="21" t="s">
        <v>181</v>
      </c>
      <c r="E61" s="27" t="s">
        <v>26</v>
      </c>
      <c r="F61" s="26"/>
    </row>
    <row r="62" customFormat="false" ht="15.75" hidden="false" customHeight="false" outlineLevel="0" collapsed="false">
      <c r="A62" s="24" t="n">
        <v>60</v>
      </c>
      <c r="B62" s="24" t="n">
        <v>25210</v>
      </c>
      <c r="C62" s="25" t="s">
        <v>182</v>
      </c>
      <c r="D62" s="25" t="s">
        <v>183</v>
      </c>
      <c r="E62" s="27" t="s">
        <v>26</v>
      </c>
      <c r="F62" s="26"/>
    </row>
    <row r="63" customFormat="false" ht="15.75" hidden="false" customHeight="false" outlineLevel="0" collapsed="false">
      <c r="A63" s="20" t="n">
        <v>61</v>
      </c>
      <c r="B63" s="20" t="n">
        <v>25213</v>
      </c>
      <c r="C63" s="21" t="s">
        <v>184</v>
      </c>
      <c r="D63" s="21" t="s">
        <v>185</v>
      </c>
      <c r="E63" s="27" t="s">
        <v>26</v>
      </c>
      <c r="F63" s="23" t="n">
        <v>46296</v>
      </c>
    </row>
    <row r="64" customFormat="false" ht="15.75" hidden="false" customHeight="false" outlineLevel="0" collapsed="false">
      <c r="A64" s="24" t="n">
        <v>62</v>
      </c>
      <c r="B64" s="24" t="n">
        <v>25214</v>
      </c>
      <c r="C64" s="25" t="s">
        <v>186</v>
      </c>
      <c r="D64" s="25" t="s">
        <v>187</v>
      </c>
      <c r="E64" s="27" t="s">
        <v>26</v>
      </c>
      <c r="F64" s="23" t="n">
        <v>46296</v>
      </c>
    </row>
    <row r="65" customFormat="false" ht="15.75" hidden="false" customHeight="false" outlineLevel="0" collapsed="false">
      <c r="A65" s="20" t="n">
        <v>63</v>
      </c>
      <c r="B65" s="20" t="n">
        <v>25215</v>
      </c>
      <c r="C65" s="21" t="s">
        <v>188</v>
      </c>
      <c r="D65" s="21" t="s">
        <v>189</v>
      </c>
      <c r="E65" s="27" t="s">
        <v>26</v>
      </c>
      <c r="F65" s="26"/>
    </row>
    <row r="66" customFormat="false" ht="15.75" hidden="false" customHeight="false" outlineLevel="0" collapsed="false">
      <c r="A66" s="24" t="n">
        <v>64</v>
      </c>
      <c r="B66" s="24" t="n">
        <v>25216</v>
      </c>
      <c r="C66" s="25" t="s">
        <v>190</v>
      </c>
      <c r="D66" s="25" t="s">
        <v>191</v>
      </c>
      <c r="E66" s="27" t="s">
        <v>26</v>
      </c>
      <c r="F66" s="26"/>
    </row>
    <row r="67" customFormat="false" ht="15.75" hidden="false" customHeight="false" outlineLevel="0" collapsed="false">
      <c r="A67" s="20" t="n">
        <v>65</v>
      </c>
      <c r="B67" s="20" t="n">
        <v>25218</v>
      </c>
      <c r="C67" s="21" t="s">
        <v>192</v>
      </c>
      <c r="D67" s="21" t="s">
        <v>193</v>
      </c>
      <c r="E67" s="27" t="s">
        <v>24</v>
      </c>
      <c r="F67" s="26"/>
    </row>
    <row r="68" customFormat="false" ht="15.75" hidden="false" customHeight="false" outlineLevel="0" collapsed="false">
      <c r="A68" s="24" t="n">
        <v>66</v>
      </c>
      <c r="B68" s="24" t="n">
        <v>25221</v>
      </c>
      <c r="C68" s="25" t="s">
        <v>194</v>
      </c>
      <c r="D68" s="25" t="s">
        <v>195</v>
      </c>
      <c r="E68" s="27" t="s">
        <v>196</v>
      </c>
      <c r="F68" s="26"/>
    </row>
    <row r="69" customFormat="false" ht="15.75" hidden="false" customHeight="false" outlineLevel="0" collapsed="false">
      <c r="A69" s="20" t="n">
        <v>67</v>
      </c>
      <c r="B69" s="20" t="n">
        <v>25223</v>
      </c>
      <c r="C69" s="21" t="s">
        <v>197</v>
      </c>
      <c r="D69" s="21" t="s">
        <v>198</v>
      </c>
      <c r="E69" s="27" t="s">
        <v>196</v>
      </c>
      <c r="F69" s="23" t="n">
        <v>46296</v>
      </c>
    </row>
    <row r="70" customFormat="false" ht="15.75" hidden="false" customHeight="false" outlineLevel="0" collapsed="false">
      <c r="A70" s="24" t="n">
        <v>68</v>
      </c>
      <c r="B70" s="24" t="n">
        <v>25224</v>
      </c>
      <c r="C70" s="25" t="s">
        <v>199</v>
      </c>
      <c r="D70" s="25" t="s">
        <v>200</v>
      </c>
      <c r="E70" s="27" t="s">
        <v>196</v>
      </c>
      <c r="F70" s="23" t="n">
        <v>46296</v>
      </c>
    </row>
    <row r="71" customFormat="false" ht="15.75" hidden="false" customHeight="false" outlineLevel="0" collapsed="false">
      <c r="A71" s="20" t="n">
        <v>69</v>
      </c>
      <c r="B71" s="20" t="n">
        <v>25226</v>
      </c>
      <c r="C71" s="21" t="s">
        <v>201</v>
      </c>
      <c r="D71" s="21" t="s">
        <v>202</v>
      </c>
      <c r="E71" s="27" t="s">
        <v>196</v>
      </c>
      <c r="F71" s="26"/>
    </row>
    <row r="72" customFormat="false" ht="15.75" hidden="false" customHeight="false" outlineLevel="0" collapsed="false">
      <c r="A72" s="24" t="n">
        <v>70</v>
      </c>
      <c r="B72" s="24" t="n">
        <v>25227</v>
      </c>
      <c r="C72" s="25" t="s">
        <v>203</v>
      </c>
      <c r="D72" s="25" t="s">
        <v>204</v>
      </c>
      <c r="E72" s="27" t="s">
        <v>196</v>
      </c>
      <c r="F72" s="26"/>
    </row>
    <row r="73" customFormat="false" ht="15.75" hidden="false" customHeight="false" outlineLevel="0" collapsed="false">
      <c r="A73" s="20" t="n">
        <v>71</v>
      </c>
      <c r="B73" s="20" t="n">
        <v>25228</v>
      </c>
      <c r="C73" s="21" t="s">
        <v>205</v>
      </c>
      <c r="D73" s="21" t="s">
        <v>206</v>
      </c>
      <c r="E73" s="27" t="s">
        <v>196</v>
      </c>
      <c r="F73" s="26"/>
    </row>
    <row r="74" customFormat="false" ht="15.75" hidden="false" customHeight="false" outlineLevel="0" collapsed="false">
      <c r="A74" s="24" t="n">
        <v>72</v>
      </c>
      <c r="B74" s="24" t="n">
        <v>25230</v>
      </c>
      <c r="C74" s="25" t="s">
        <v>207</v>
      </c>
      <c r="D74" s="25" t="s">
        <v>208</v>
      </c>
      <c r="E74" s="27" t="s">
        <v>26</v>
      </c>
      <c r="F74" s="23" t="n">
        <v>46296</v>
      </c>
    </row>
    <row r="75" customFormat="false" ht="15.75" hidden="false" customHeight="false" outlineLevel="0" collapsed="false">
      <c r="A75" s="20" t="n">
        <v>73</v>
      </c>
      <c r="B75" s="20" t="n">
        <v>25231</v>
      </c>
      <c r="C75" s="21" t="s">
        <v>209</v>
      </c>
      <c r="D75" s="21" t="s">
        <v>210</v>
      </c>
      <c r="E75" s="27" t="s">
        <v>26</v>
      </c>
      <c r="F75" s="23" t="n">
        <v>46296</v>
      </c>
    </row>
    <row r="76" customFormat="false" ht="15.75" hidden="false" customHeight="false" outlineLevel="0" collapsed="false">
      <c r="A76" s="24" t="n">
        <v>74</v>
      </c>
      <c r="B76" s="24" t="n">
        <v>25232</v>
      </c>
      <c r="C76" s="25" t="s">
        <v>211</v>
      </c>
      <c r="D76" s="25" t="s">
        <v>212</v>
      </c>
      <c r="E76" s="27" t="s">
        <v>213</v>
      </c>
      <c r="F76" s="26"/>
    </row>
    <row r="77" customFormat="false" ht="15.75" hidden="false" customHeight="false" outlineLevel="0" collapsed="false">
      <c r="A77" s="20" t="n">
        <v>75</v>
      </c>
      <c r="B77" s="20" t="n">
        <v>25233</v>
      </c>
      <c r="C77" s="21" t="s">
        <v>214</v>
      </c>
      <c r="D77" s="21" t="s">
        <v>215</v>
      </c>
      <c r="E77" s="27" t="s">
        <v>213</v>
      </c>
      <c r="F77" s="26"/>
    </row>
    <row r="78" customFormat="false" ht="15.75" hidden="false" customHeight="false" outlineLevel="0" collapsed="false">
      <c r="F78" s="32"/>
    </row>
  </sheetData>
  <mergeCells count="1">
    <mergeCell ref="A1:E1"/>
  </mergeCells>
  <dataValidations count="2">
    <dataValidation allowBlank="true" errorStyle="stop" operator="between" showDropDown="false" showErrorMessage="true" showInputMessage="false" sqref="E3:E27 E29:E77" type="list">
      <formula1>"MJLI 14,MASSIVE 25A,MASSIVE 25B,MASSIVE 25C,MASSIVE 25E,ONLY FILE PROCESSING,MASSIVE 25F,MASSIVE 25G,MASSIVE 25H,MASSIVE 25I N4,MASSIVE 25J,MASSIVE 25K,MJLI 12,MJLI 13"</formula1>
      <formula2>0</formula2>
    </dataValidation>
    <dataValidation allowBlank="true" errorStyle="stop" operator="between" showDropDown="false" showErrorMessage="true" showInputMessage="false" sqref="E28" type="list">
      <formula1>"MASSIVE 24A,MASSIVE 25A,MASSIVE 25B,MASSIVE 25C,MASSIVE 25E,ONLY FILE PROCESSING,MASSIVE 25F,MASSIVE 25 G,MASSIVE 25 H"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24.75"/>
    <col collapsed="false" customWidth="true" hidden="false" outlineLevel="0" max="3" min="3" style="0" width="21.63"/>
    <col collapsed="false" customWidth="true" hidden="false" outlineLevel="0" max="4" min="4" style="0" width="20.38"/>
  </cols>
  <sheetData>
    <row r="1" customFormat="false" ht="36" hidden="false" customHeight="true" outlineLevel="0" collapsed="false">
      <c r="A1" s="33" t="s">
        <v>216</v>
      </c>
      <c r="B1" s="33"/>
      <c r="C1" s="33"/>
      <c r="D1" s="33"/>
    </row>
    <row r="2" customFormat="false" ht="30.75" hidden="false" customHeight="true" outlineLevel="0" collapsed="false">
      <c r="A2" s="34" t="s">
        <v>217</v>
      </c>
      <c r="B2" s="34" t="s">
        <v>218</v>
      </c>
      <c r="C2" s="34" t="s">
        <v>219</v>
      </c>
      <c r="D2" s="34" t="s">
        <v>220</v>
      </c>
    </row>
    <row r="3" customFormat="false" ht="15.75" hidden="false" customHeight="false" outlineLevel="0" collapsed="false">
      <c r="A3" s="35"/>
      <c r="B3" s="22" t="s">
        <v>221</v>
      </c>
      <c r="C3" s="22" t="s">
        <v>222</v>
      </c>
      <c r="D3" s="22" t="s">
        <v>223</v>
      </c>
    </row>
    <row r="4" customFormat="false" ht="15.75" hidden="false" customHeight="false" outlineLevel="0" collapsed="false">
      <c r="A4" s="35"/>
      <c r="B4" s="22" t="s">
        <v>224</v>
      </c>
      <c r="C4" s="22" t="s">
        <v>225</v>
      </c>
      <c r="D4" s="22" t="s">
        <v>223</v>
      </c>
    </row>
    <row r="5" customFormat="false" ht="15.75" hidden="false" customHeight="false" outlineLevel="0" collapsed="false">
      <c r="A5" s="36"/>
    </row>
    <row r="6" customFormat="false" ht="15.75" hidden="false" customHeight="false" outlineLevel="0" collapsed="false">
      <c r="A6" s="36" t="n">
        <v>45962</v>
      </c>
      <c r="B6" s="22" t="s">
        <v>226</v>
      </c>
      <c r="C6" s="22" t="s">
        <v>227</v>
      </c>
      <c r="D6" s="22" t="s">
        <v>228</v>
      </c>
    </row>
    <row r="7" customFormat="false" ht="15.75" hidden="false" customHeight="false" outlineLevel="0" collapsed="false">
      <c r="A7" s="36" t="n">
        <v>45964</v>
      </c>
      <c r="B7" s="22" t="s">
        <v>229</v>
      </c>
      <c r="C7" s="22" t="s">
        <v>230</v>
      </c>
      <c r="D7" s="22" t="s">
        <v>231</v>
      </c>
    </row>
    <row r="8" customFormat="false" ht="15.75" hidden="false" customHeight="false" outlineLevel="0" collapsed="false">
      <c r="A8" s="36" t="n">
        <v>45964</v>
      </c>
      <c r="B8" s="22" t="s">
        <v>232</v>
      </c>
      <c r="C8" s="22" t="s">
        <v>233</v>
      </c>
      <c r="D8" s="22" t="s">
        <v>231</v>
      </c>
    </row>
    <row r="9" customFormat="false" ht="15.75" hidden="false" customHeight="false" outlineLevel="0" collapsed="false">
      <c r="A9" s="36"/>
    </row>
    <row r="10" customFormat="false" ht="15.75" hidden="false" customHeight="false" outlineLevel="0" collapsed="false">
      <c r="A10" s="36" t="n">
        <v>45976</v>
      </c>
      <c r="B10" s="22" t="s">
        <v>234</v>
      </c>
      <c r="C10" s="22" t="s">
        <v>235</v>
      </c>
    </row>
    <row r="11" customFormat="false" ht="15.75" hidden="false" customHeight="false" outlineLevel="0" collapsed="false">
      <c r="A11" s="36" t="n">
        <v>45979</v>
      </c>
      <c r="B11" s="22" t="s">
        <v>236</v>
      </c>
      <c r="C11" s="22" t="s">
        <v>237</v>
      </c>
      <c r="D11" s="22" t="s">
        <v>238</v>
      </c>
    </row>
    <row r="12" customFormat="false" ht="15.75" hidden="false" customHeight="false" outlineLevel="0" collapsed="false">
      <c r="A12" s="36" t="n">
        <v>45978</v>
      </c>
      <c r="B12" s="22" t="s">
        <v>239</v>
      </c>
      <c r="C12" s="22" t="s">
        <v>240</v>
      </c>
      <c r="D12" s="22" t="s">
        <v>241</v>
      </c>
      <c r="I12" s="22" t="s">
        <v>242</v>
      </c>
    </row>
    <row r="13" customFormat="false" ht="15.75" hidden="false" customHeight="false" outlineLevel="0" collapsed="false">
      <c r="A13" s="36" t="n">
        <v>45983</v>
      </c>
      <c r="B13" s="22" t="s">
        <v>243</v>
      </c>
      <c r="C13" s="22" t="s">
        <v>238</v>
      </c>
      <c r="D13" s="22" t="s">
        <v>244</v>
      </c>
    </row>
    <row r="14" customFormat="false" ht="15.75" hidden="false" customHeight="false" outlineLevel="0" collapsed="false">
      <c r="A14" s="36" t="n">
        <v>45984</v>
      </c>
      <c r="B14" s="22" t="s">
        <v>245</v>
      </c>
      <c r="C14" s="22" t="s">
        <v>246</v>
      </c>
      <c r="D14" s="22" t="s">
        <v>247</v>
      </c>
      <c r="E14" s="22" t="s">
        <v>248</v>
      </c>
    </row>
    <row r="15" customFormat="false" ht="15.75" hidden="false" customHeight="false" outlineLevel="0" collapsed="false">
      <c r="A15" s="35"/>
    </row>
    <row r="16" customFormat="false" ht="15.75" hidden="false" customHeight="false" outlineLevel="0" collapsed="false">
      <c r="A16" s="36" t="n">
        <v>45990</v>
      </c>
      <c r="B16" s="22" t="s">
        <v>249</v>
      </c>
      <c r="C16" s="22" t="s">
        <v>250</v>
      </c>
    </row>
    <row r="17" customFormat="false" ht="15.75" hidden="false" customHeight="false" outlineLevel="0" collapsed="false">
      <c r="A17" s="36" t="n">
        <v>45990</v>
      </c>
      <c r="B17" s="22" t="s">
        <v>251</v>
      </c>
      <c r="C17" s="22" t="s">
        <v>252</v>
      </c>
    </row>
    <row r="18" customFormat="false" ht="15.75" hidden="false" customHeight="false" outlineLevel="0" collapsed="false">
      <c r="A18" s="35"/>
    </row>
    <row r="19" customFormat="false" ht="15.75" hidden="false" customHeight="false" outlineLevel="0" collapsed="false">
      <c r="B19" s="22" t="s">
        <v>253</v>
      </c>
      <c r="C19" s="22" t="s">
        <v>254</v>
      </c>
      <c r="D19" s="22" t="s">
        <v>255</v>
      </c>
    </row>
    <row r="20" customFormat="false" ht="15.75" hidden="false" customHeight="false" outlineLevel="0" collapsed="false">
      <c r="A20" s="36" t="n">
        <v>46002</v>
      </c>
      <c r="B20" s="22" t="s">
        <v>256</v>
      </c>
      <c r="C20" s="22" t="s">
        <v>257</v>
      </c>
      <c r="D20" s="22" t="s">
        <v>258</v>
      </c>
      <c r="E20" s="22" t="n">
        <v>3</v>
      </c>
    </row>
    <row r="21" customFormat="false" ht="15.75" hidden="false" customHeight="false" outlineLevel="0" collapsed="false">
      <c r="B21" s="22" t="s">
        <v>259</v>
      </c>
      <c r="C21" s="22" t="s">
        <v>260</v>
      </c>
    </row>
    <row r="22" customFormat="false" ht="15.75" hidden="false" customHeight="false" outlineLevel="0" collapsed="false">
      <c r="B22" s="22" t="s">
        <v>259</v>
      </c>
      <c r="C22" s="22" t="s">
        <v>261</v>
      </c>
    </row>
    <row r="24" customFormat="false" ht="15.75" hidden="false" customHeight="false" outlineLevel="0" collapsed="false">
      <c r="A24" s="36" t="n">
        <v>46014</v>
      </c>
      <c r="B24" s="22" t="s">
        <v>262</v>
      </c>
      <c r="C24" s="22" t="s">
        <v>263</v>
      </c>
      <c r="D24" s="22" t="s">
        <v>264</v>
      </c>
      <c r="I24" s="22" t="s">
        <v>242</v>
      </c>
    </row>
    <row r="25" customFormat="false" ht="15.75" hidden="false" customHeight="false" outlineLevel="0" collapsed="false">
      <c r="A25" s="36" t="n">
        <v>46014</v>
      </c>
      <c r="B25" s="22" t="s">
        <v>265</v>
      </c>
      <c r="C25" s="22" t="s">
        <v>266</v>
      </c>
      <c r="D25" s="22" t="s">
        <v>264</v>
      </c>
    </row>
    <row r="26" customFormat="false" ht="15.75" hidden="false" customHeight="false" outlineLevel="0" collapsed="false">
      <c r="B26" s="22" t="s">
        <v>259</v>
      </c>
      <c r="C26" s="22" t="s">
        <v>267</v>
      </c>
    </row>
    <row r="27" customFormat="false" ht="15.75" hidden="false" customHeight="false" outlineLevel="0" collapsed="false">
      <c r="B27" s="22" t="s">
        <v>259</v>
      </c>
      <c r="C27" s="22" t="s">
        <v>268</v>
      </c>
    </row>
    <row r="28" customFormat="false" ht="15.75" hidden="false" customHeight="false" outlineLevel="0" collapsed="false">
      <c r="B28" s="22" t="s">
        <v>259</v>
      </c>
      <c r="C28" s="22" t="s">
        <v>269</v>
      </c>
    </row>
    <row r="29" customFormat="false" ht="15.75" hidden="false" customHeight="false" outlineLevel="0" collapsed="false">
      <c r="B29" s="22" t="s">
        <v>259</v>
      </c>
      <c r="C29" s="22" t="s">
        <v>270</v>
      </c>
    </row>
    <row r="30" customFormat="false" ht="15.75" hidden="false" customHeight="false" outlineLevel="0" collapsed="false">
      <c r="B30" s="22" t="s">
        <v>259</v>
      </c>
      <c r="C30" s="22" t="s">
        <v>271</v>
      </c>
    </row>
    <row r="34" customFormat="false" ht="15.75" hidden="false" customHeight="false" outlineLevel="0" collapsed="false">
      <c r="B34" s="22" t="s">
        <v>272</v>
      </c>
      <c r="C34" s="22" t="s">
        <v>273</v>
      </c>
    </row>
    <row r="35" customFormat="false" ht="15.75" hidden="false" customHeight="false" outlineLevel="0" collapsed="false">
      <c r="B35" s="22" t="s">
        <v>274</v>
      </c>
      <c r="C35" s="22" t="s">
        <v>275</v>
      </c>
      <c r="D35" s="22" t="s">
        <v>276</v>
      </c>
    </row>
    <row r="36" customFormat="false" ht="15.75" hidden="false" customHeight="false" outlineLevel="0" collapsed="false">
      <c r="B36" s="22" t="s">
        <v>277</v>
      </c>
      <c r="C36" s="22" t="s">
        <v>278</v>
      </c>
    </row>
    <row r="37" customFormat="false" ht="15.75" hidden="false" customHeight="false" outlineLevel="0" collapsed="false">
      <c r="B37" s="22" t="s">
        <v>279</v>
      </c>
      <c r="C37" s="22" t="s">
        <v>280</v>
      </c>
    </row>
    <row r="38" customFormat="false" ht="15.75" hidden="false" customHeight="false" outlineLevel="0" collapsed="false">
      <c r="B38" s="22" t="s">
        <v>281</v>
      </c>
      <c r="C38" s="22" t="s">
        <v>282</v>
      </c>
    </row>
    <row r="39" customFormat="false" ht="15.75" hidden="false" customHeight="false" outlineLevel="0" collapsed="false">
      <c r="B39" s="22" t="s">
        <v>283</v>
      </c>
      <c r="C39" s="22" t="s">
        <v>284</v>
      </c>
    </row>
    <row r="40" customFormat="false" ht="15.75" hidden="false" customHeight="false" outlineLevel="0" collapsed="false">
      <c r="B40" s="22" t="s">
        <v>285</v>
      </c>
      <c r="C40" s="22" t="s">
        <v>286</v>
      </c>
    </row>
    <row r="41" customFormat="false" ht="15.75" hidden="false" customHeight="false" outlineLevel="0" collapsed="false">
      <c r="G41" s="22" t="s">
        <v>242</v>
      </c>
    </row>
    <row r="42" customFormat="false" ht="15.75" hidden="false" customHeight="false" outlineLevel="0" collapsed="false">
      <c r="A42" s="22" t="s">
        <v>287</v>
      </c>
      <c r="B42" s="22" t="s">
        <v>288</v>
      </c>
      <c r="C42" s="22" t="s">
        <v>289</v>
      </c>
    </row>
    <row r="43" customFormat="false" ht="15.75" hidden="false" customHeight="false" outlineLevel="0" collapsed="false">
      <c r="A43" s="22" t="s">
        <v>287</v>
      </c>
      <c r="B43" s="22" t="s">
        <v>290</v>
      </c>
      <c r="C43" s="22" t="s">
        <v>291</v>
      </c>
    </row>
    <row r="44" customFormat="false" ht="15.75" hidden="false" customHeight="false" outlineLevel="0" collapsed="false">
      <c r="A44" s="22" t="s">
        <v>292</v>
      </c>
      <c r="B44" s="22" t="s">
        <v>293</v>
      </c>
      <c r="C44" s="22" t="s">
        <v>294</v>
      </c>
      <c r="D44" s="22" t="s">
        <v>248</v>
      </c>
    </row>
    <row r="45" customFormat="false" ht="15.75" hidden="false" customHeight="false" outlineLevel="0" collapsed="false">
      <c r="A45" s="22" t="s">
        <v>292</v>
      </c>
      <c r="B45" s="22" t="s">
        <v>295</v>
      </c>
      <c r="C45" s="22" t="s">
        <v>296</v>
      </c>
    </row>
    <row r="46" customFormat="false" ht="15.75" hidden="false" customHeight="false" outlineLevel="0" collapsed="false">
      <c r="A46" s="22" t="s">
        <v>292</v>
      </c>
      <c r="B46" s="22" t="s">
        <v>297</v>
      </c>
      <c r="C46" s="22" t="s">
        <v>298</v>
      </c>
    </row>
    <row r="47" customFormat="false" ht="15.75" hidden="false" customHeight="false" outlineLevel="0" collapsed="false">
      <c r="A47" s="22" t="s">
        <v>292</v>
      </c>
      <c r="B47" s="22" t="s">
        <v>299</v>
      </c>
      <c r="C47" s="22" t="s">
        <v>300</v>
      </c>
      <c r="D47" s="22" t="s">
        <v>248</v>
      </c>
    </row>
    <row r="49" customFormat="false" ht="15.75" hidden="false" customHeight="false" outlineLevel="0" collapsed="false">
      <c r="A49" s="22" t="s">
        <v>301</v>
      </c>
      <c r="B49" s="22" t="s">
        <v>302</v>
      </c>
      <c r="C49" s="22" t="s">
        <v>303</v>
      </c>
      <c r="D49" s="22" t="s">
        <v>304</v>
      </c>
      <c r="E49" s="22" t="s">
        <v>247</v>
      </c>
    </row>
  </sheetData>
  <mergeCells count="1">
    <mergeCell ref="A1:D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8.38"/>
    <col collapsed="false" customWidth="true" hidden="false" outlineLevel="0" max="3" min="3" style="0" width="18.25"/>
    <col collapsed="false" customWidth="true" hidden="false" outlineLevel="0" max="4" min="4" style="0" width="25"/>
    <col collapsed="false" customWidth="true" hidden="false" outlineLevel="0" max="5" min="5" style="0" width="23.5"/>
    <col collapsed="false" customWidth="true" hidden="false" outlineLevel="0" max="6" min="6" style="0" width="17.88"/>
    <col collapsed="false" customWidth="true" hidden="false" outlineLevel="0" max="9" min="7" style="0" width="24.75"/>
  </cols>
  <sheetData>
    <row r="1" customFormat="false" ht="26.8" hidden="false" customHeight="false" outlineLevel="0" collapsed="false">
      <c r="A1" s="37" t="s">
        <v>77</v>
      </c>
      <c r="B1" s="37"/>
      <c r="C1" s="37"/>
      <c r="D1" s="37"/>
      <c r="E1" s="37"/>
      <c r="F1" s="37"/>
      <c r="G1" s="37"/>
      <c r="H1" s="37"/>
      <c r="I1" s="3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17.35" hidden="false" customHeight="false" outlineLevel="0" collapsed="false">
      <c r="A2" s="6" t="s">
        <v>305</v>
      </c>
      <c r="B2" s="6"/>
      <c r="C2" s="6"/>
      <c r="D2" s="6"/>
      <c r="E2" s="6"/>
      <c r="F2" s="6" t="s">
        <v>306</v>
      </c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5.75" hidden="false" customHeight="false" outlineLevel="0" collapsed="false">
      <c r="A4" s="38" t="n">
        <v>1</v>
      </c>
      <c r="B4" s="39" t="s">
        <v>307</v>
      </c>
      <c r="C4" s="14" t="n">
        <v>155</v>
      </c>
      <c r="D4" s="14" t="s">
        <v>69</v>
      </c>
      <c r="E4" s="14" t="s">
        <v>308</v>
      </c>
      <c r="F4" s="14" t="s">
        <v>309</v>
      </c>
      <c r="G4" s="14"/>
      <c r="H4" s="14"/>
      <c r="I4" s="14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customFormat="false" ht="15.75" hidden="false" customHeight="false" outlineLevel="0" collapsed="false">
      <c r="A5" s="38" t="n">
        <v>2</v>
      </c>
      <c r="B5" s="40" t="s">
        <v>310</v>
      </c>
      <c r="C5" s="12" t="n">
        <v>173</v>
      </c>
      <c r="D5" s="12" t="s">
        <v>311</v>
      </c>
      <c r="E5" s="12" t="s">
        <v>71</v>
      </c>
      <c r="F5" s="12" t="s">
        <v>312</v>
      </c>
      <c r="G5" s="12"/>
      <c r="H5" s="12"/>
      <c r="I5" s="12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customFormat="false" ht="15.75" hidden="false" customHeight="false" outlineLevel="0" collapsed="false">
      <c r="A6" s="38" t="n">
        <v>3</v>
      </c>
      <c r="B6" s="39" t="s">
        <v>313</v>
      </c>
      <c r="C6" s="14" t="n">
        <v>165</v>
      </c>
      <c r="D6" s="14" t="s">
        <v>314</v>
      </c>
      <c r="E6" s="14" t="s">
        <v>71</v>
      </c>
      <c r="F6" s="14" t="s">
        <v>312</v>
      </c>
      <c r="G6" s="14"/>
      <c r="H6" s="14"/>
      <c r="I6" s="14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customFormat="false" ht="15.75" hidden="false" customHeight="false" outlineLevel="0" collapsed="false">
      <c r="A7" s="38" t="n">
        <v>4</v>
      </c>
      <c r="B7" s="40" t="s">
        <v>315</v>
      </c>
      <c r="C7" s="12" t="n">
        <v>167</v>
      </c>
      <c r="D7" s="12" t="s">
        <v>316</v>
      </c>
      <c r="E7" s="12" t="s">
        <v>317</v>
      </c>
      <c r="F7" s="12" t="s">
        <v>318</v>
      </c>
      <c r="G7" s="12"/>
      <c r="H7" s="12"/>
      <c r="I7" s="12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customFormat="false" ht="15.75" hidden="false" customHeight="false" outlineLevel="0" collapsed="false">
      <c r="A8" s="38" t="n">
        <v>5</v>
      </c>
      <c r="B8" s="39" t="s">
        <v>319</v>
      </c>
      <c r="C8" s="14" t="n">
        <v>170</v>
      </c>
      <c r="D8" s="14" t="s">
        <v>320</v>
      </c>
      <c r="E8" s="14" t="s">
        <v>73</v>
      </c>
      <c r="F8" s="14" t="s">
        <v>321</v>
      </c>
      <c r="G8" s="14"/>
      <c r="H8" s="14"/>
      <c r="I8" s="14"/>
      <c r="J8" s="1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customFormat="false" ht="15.75" hidden="false" customHeight="false" outlineLevel="0" collapsed="false">
      <c r="A9" s="38" t="n">
        <v>6</v>
      </c>
      <c r="B9" s="40" t="s">
        <v>322</v>
      </c>
      <c r="C9" s="12" t="n">
        <v>168</v>
      </c>
      <c r="D9" s="12" t="s">
        <v>323</v>
      </c>
      <c r="E9" s="12" t="s">
        <v>324</v>
      </c>
      <c r="F9" s="41" t="n">
        <v>33604</v>
      </c>
      <c r="G9" s="12"/>
      <c r="H9" s="12"/>
      <c r="I9" s="12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customFormat="false" ht="15.75" hidden="false" customHeight="false" outlineLevel="0" collapsed="false">
      <c r="A10" s="38" t="n">
        <v>7</v>
      </c>
      <c r="B10" s="39" t="s">
        <v>325</v>
      </c>
      <c r="C10" s="14" t="n">
        <v>203</v>
      </c>
      <c r="D10" s="14" t="s">
        <v>326</v>
      </c>
      <c r="E10" s="14" t="s">
        <v>76</v>
      </c>
      <c r="F10" s="42" t="n">
        <v>38450</v>
      </c>
      <c r="G10" s="14"/>
      <c r="H10" s="14"/>
      <c r="I10" s="14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customFormat="false" ht="15.75" hidden="false" customHeight="false" outlineLevel="0" collapsed="false">
      <c r="A11" s="38" t="n">
        <v>8</v>
      </c>
      <c r="B11" s="40" t="s">
        <v>327</v>
      </c>
      <c r="C11" s="12" t="n">
        <v>232</v>
      </c>
      <c r="D11" s="12" t="s">
        <v>328</v>
      </c>
      <c r="E11" s="12"/>
      <c r="F11" s="12" t="s">
        <v>329</v>
      </c>
      <c r="G11" s="12"/>
      <c r="H11" s="12"/>
      <c r="I11" s="1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customFormat="false" ht="15.75" hidden="false" customHeight="false" outlineLevel="0" collapsed="false">
      <c r="A12" s="38" t="n">
        <v>9</v>
      </c>
      <c r="B12" s="39" t="s">
        <v>330</v>
      </c>
      <c r="C12" s="14" t="n">
        <v>154</v>
      </c>
      <c r="D12" s="14" t="s">
        <v>331</v>
      </c>
      <c r="E12" s="14" t="s">
        <v>332</v>
      </c>
      <c r="F12" s="14" t="s">
        <v>333</v>
      </c>
      <c r="G12" s="14"/>
      <c r="H12" s="14"/>
      <c r="I12" s="14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customFormat="false" ht="15.75" hidden="false" customHeight="false" outlineLevel="0" collapsed="false">
      <c r="A13" s="38" t="n">
        <v>10</v>
      </c>
      <c r="B13" s="40" t="s">
        <v>334</v>
      </c>
      <c r="C13" s="12" t="n">
        <v>181</v>
      </c>
      <c r="D13" s="12" t="s">
        <v>335</v>
      </c>
      <c r="E13" s="12" t="s">
        <v>336</v>
      </c>
      <c r="F13" s="12" t="s">
        <v>337</v>
      </c>
      <c r="G13" s="12"/>
      <c r="H13" s="12"/>
      <c r="I13" s="1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customFormat="false" ht="15.75" hidden="false" customHeight="false" outlineLevel="0" collapsed="false">
      <c r="A14" s="38" t="n">
        <v>11</v>
      </c>
      <c r="B14" s="39" t="s">
        <v>338</v>
      </c>
      <c r="C14" s="14" t="n">
        <v>182</v>
      </c>
      <c r="D14" s="14" t="s">
        <v>339</v>
      </c>
      <c r="E14" s="14" t="s">
        <v>339</v>
      </c>
      <c r="F14" s="14" t="s">
        <v>340</v>
      </c>
      <c r="G14" s="14"/>
      <c r="H14" s="14"/>
      <c r="I14" s="14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customFormat="false" ht="15.75" hidden="false" customHeight="false" outlineLevel="0" collapsed="false">
      <c r="A15" s="38" t="n">
        <v>12</v>
      </c>
      <c r="B15" s="40" t="s">
        <v>341</v>
      </c>
      <c r="C15" s="12" t="n">
        <v>174</v>
      </c>
      <c r="D15" s="12" t="s">
        <v>342</v>
      </c>
      <c r="E15" s="12" t="s">
        <v>343</v>
      </c>
      <c r="F15" s="12" t="s">
        <v>344</v>
      </c>
      <c r="G15" s="12"/>
      <c r="H15" s="12"/>
      <c r="I15" s="1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customFormat="false" ht="15.75" hidden="false" customHeight="false" outlineLevel="0" collapsed="false">
      <c r="A16" s="38" t="n">
        <v>13</v>
      </c>
      <c r="B16" s="39" t="s">
        <v>345</v>
      </c>
      <c r="C16" s="14" t="s">
        <v>346</v>
      </c>
      <c r="D16" s="14" t="s">
        <v>347</v>
      </c>
      <c r="E16" s="14" t="s">
        <v>79</v>
      </c>
      <c r="F16" s="42" t="n">
        <v>38751</v>
      </c>
      <c r="G16" s="14"/>
      <c r="H16" s="14"/>
      <c r="I16" s="14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customFormat="false" ht="15.75" hidden="false" customHeight="false" outlineLevel="0" collapsed="false">
      <c r="A17" s="38" t="n">
        <v>14</v>
      </c>
      <c r="B17" s="40" t="s">
        <v>348</v>
      </c>
      <c r="C17" s="12" t="n">
        <v>202</v>
      </c>
      <c r="D17" s="12" t="s">
        <v>349</v>
      </c>
      <c r="E17" s="12" t="s">
        <v>350</v>
      </c>
      <c r="F17" s="12" t="s">
        <v>351</v>
      </c>
      <c r="G17" s="12"/>
      <c r="H17" s="12"/>
      <c r="I17" s="1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customFormat="false" ht="15.75" hidden="false" customHeight="false" outlineLevel="0" collapsed="false">
      <c r="A18" s="38" t="n">
        <v>15</v>
      </c>
      <c r="B18" s="39" t="s">
        <v>352</v>
      </c>
      <c r="C18" s="14" t="n">
        <v>172</v>
      </c>
      <c r="D18" s="14" t="s">
        <v>353</v>
      </c>
      <c r="E18" s="14" t="s">
        <v>354</v>
      </c>
      <c r="F18" s="42" t="n">
        <v>37748</v>
      </c>
      <c r="G18" s="14"/>
      <c r="H18" s="14"/>
      <c r="I18" s="14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customFormat="false" ht="15.75" hidden="false" customHeight="false" outlineLevel="0" collapsed="false">
      <c r="A19" s="38" t="n">
        <v>16</v>
      </c>
      <c r="B19" s="40" t="s">
        <v>355</v>
      </c>
      <c r="C19" s="12" t="n">
        <v>169</v>
      </c>
      <c r="D19" s="12" t="s">
        <v>356</v>
      </c>
      <c r="E19" s="12" t="s">
        <v>357</v>
      </c>
      <c r="F19" s="41" t="n">
        <v>33641</v>
      </c>
      <c r="G19" s="12"/>
      <c r="H19" s="12"/>
      <c r="I19" s="1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customFormat="false" ht="15.75" hidden="false" customHeight="false" outlineLevel="0" collapsed="false">
      <c r="A20" s="38" t="n">
        <v>17</v>
      </c>
      <c r="B20" s="39" t="s">
        <v>358</v>
      </c>
      <c r="C20" s="14" t="n">
        <v>180</v>
      </c>
      <c r="D20" s="14" t="s">
        <v>359</v>
      </c>
      <c r="E20" s="14" t="s">
        <v>81</v>
      </c>
      <c r="F20" s="42" t="n">
        <v>37233</v>
      </c>
      <c r="G20" s="14"/>
      <c r="H20" s="14"/>
      <c r="I20" s="14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customFormat="false" ht="15.75" hidden="false" customHeight="false" outlineLevel="0" collapsed="false">
      <c r="A21" s="38" t="n">
        <v>18</v>
      </c>
      <c r="B21" s="40" t="s">
        <v>360</v>
      </c>
      <c r="C21" s="12" t="s">
        <v>361</v>
      </c>
      <c r="D21" s="12" t="s">
        <v>362</v>
      </c>
      <c r="E21" s="12" t="s">
        <v>83</v>
      </c>
      <c r="F21" s="41" t="n">
        <v>37593</v>
      </c>
      <c r="G21" s="12"/>
      <c r="H21" s="12"/>
      <c r="I21" s="1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customFormat="false" ht="15.75" hidden="false" customHeight="false" outlineLevel="0" collapsed="false">
      <c r="A22" s="38" t="n">
        <v>19</v>
      </c>
      <c r="B22" s="39" t="s">
        <v>363</v>
      </c>
      <c r="C22" s="14" t="n">
        <v>183</v>
      </c>
      <c r="D22" s="14" t="s">
        <v>364</v>
      </c>
      <c r="E22" s="14" t="s">
        <v>364</v>
      </c>
      <c r="F22" s="14"/>
      <c r="G22" s="14"/>
      <c r="H22" s="14"/>
      <c r="I22" s="14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customFormat="false" ht="15.75" hidden="false" customHeight="false" outlineLevel="0" collapsed="false">
      <c r="A23" s="38" t="n">
        <v>20</v>
      </c>
      <c r="B23" s="40" t="s">
        <v>365</v>
      </c>
      <c r="C23" s="12" t="n">
        <v>189</v>
      </c>
      <c r="D23" s="12" t="s">
        <v>366</v>
      </c>
      <c r="E23" s="12"/>
      <c r="F23" s="12" t="s">
        <v>367</v>
      </c>
      <c r="G23" s="12"/>
      <c r="H23" s="12"/>
      <c r="I23" s="1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customFormat="false" ht="15.75" hidden="false" customHeight="false" outlineLevel="0" collapsed="false">
      <c r="A24" s="38" t="n">
        <v>21</v>
      </c>
      <c r="B24" s="39" t="s">
        <v>368</v>
      </c>
      <c r="C24" s="14" t="n">
        <v>185</v>
      </c>
      <c r="D24" s="14" t="s">
        <v>369</v>
      </c>
      <c r="E24" s="14" t="s">
        <v>85</v>
      </c>
      <c r="F24" s="14" t="s">
        <v>370</v>
      </c>
      <c r="G24" s="14"/>
      <c r="H24" s="14"/>
      <c r="I24" s="14"/>
      <c r="J24" s="38"/>
      <c r="K24" s="38" t="s">
        <v>55</v>
      </c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customFormat="false" ht="15.75" hidden="false" customHeight="false" outlineLevel="0" collapsed="false">
      <c r="A25" s="38" t="n">
        <v>22</v>
      </c>
      <c r="B25" s="40" t="s">
        <v>371</v>
      </c>
      <c r="C25" s="12" t="s">
        <v>346</v>
      </c>
      <c r="D25" s="12"/>
      <c r="E25" s="12" t="s">
        <v>85</v>
      </c>
      <c r="F25" s="41" t="n">
        <v>39908</v>
      </c>
      <c r="G25" s="12"/>
      <c r="H25" s="12"/>
      <c r="I25" s="1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customFormat="false" ht="15.75" hidden="false" customHeight="false" outlineLevel="0" collapsed="false">
      <c r="A26" s="38" t="n">
        <v>23</v>
      </c>
      <c r="B26" s="39" t="s">
        <v>372</v>
      </c>
      <c r="C26" s="14" t="n">
        <v>184</v>
      </c>
      <c r="D26" s="14" t="s">
        <v>373</v>
      </c>
      <c r="E26" s="14" t="s">
        <v>87</v>
      </c>
      <c r="F26" s="42" t="n">
        <v>38355</v>
      </c>
      <c r="G26" s="14"/>
      <c r="H26" s="14"/>
      <c r="I26" s="14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customFormat="false" ht="15.75" hidden="false" customHeight="false" outlineLevel="0" collapsed="false">
      <c r="A27" s="38" t="n">
        <v>24</v>
      </c>
      <c r="B27" s="40" t="s">
        <v>374</v>
      </c>
      <c r="C27" s="12" t="n">
        <v>186</v>
      </c>
      <c r="D27" s="12" t="s">
        <v>375</v>
      </c>
      <c r="E27" s="12" t="s">
        <v>375</v>
      </c>
      <c r="F27" s="12" t="s">
        <v>376</v>
      </c>
      <c r="G27" s="12"/>
      <c r="H27" s="12"/>
      <c r="I27" s="1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customFormat="false" ht="15.75" hidden="false" customHeight="false" outlineLevel="0" collapsed="false">
      <c r="A28" s="38" t="n">
        <v>25</v>
      </c>
      <c r="B28" s="39" t="s">
        <v>377</v>
      </c>
      <c r="C28" s="14" t="n">
        <v>179</v>
      </c>
      <c r="D28" s="14" t="s">
        <v>378</v>
      </c>
      <c r="E28" s="14"/>
      <c r="F28" s="14" t="s">
        <v>379</v>
      </c>
      <c r="G28" s="14"/>
      <c r="H28" s="14"/>
      <c r="I28" s="14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customFormat="false" ht="15.75" hidden="false" customHeight="false" outlineLevel="0" collapsed="false">
      <c r="A29" s="38" t="n">
        <v>26</v>
      </c>
      <c r="B29" s="39" t="s">
        <v>380</v>
      </c>
      <c r="C29" s="14" t="n">
        <v>205</v>
      </c>
      <c r="D29" s="14" t="s">
        <v>381</v>
      </c>
      <c r="E29" s="14" t="s">
        <v>89</v>
      </c>
      <c r="F29" s="14" t="s">
        <v>382</v>
      </c>
      <c r="G29" s="14"/>
      <c r="H29" s="14"/>
      <c r="I29" s="14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customFormat="false" ht="15.75" hidden="false" customHeight="false" outlineLevel="0" collapsed="false">
      <c r="A30" s="38" t="n">
        <v>27</v>
      </c>
      <c r="B30" s="39" t="s">
        <v>383</v>
      </c>
      <c r="C30" s="14" t="n">
        <v>161</v>
      </c>
      <c r="D30" s="14" t="s">
        <v>384</v>
      </c>
      <c r="E30" s="14" t="s">
        <v>385</v>
      </c>
      <c r="F30" s="14" t="s">
        <v>386</v>
      </c>
      <c r="G30" s="14"/>
      <c r="H30" s="14"/>
      <c r="I30" s="14"/>
      <c r="J30" s="38"/>
      <c r="K30" s="38"/>
      <c r="L30" s="38"/>
      <c r="M30" s="38"/>
      <c r="N30" s="38" t="s">
        <v>56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customFormat="false" ht="15.75" hidden="false" customHeight="false" outlineLevel="0" collapsed="false">
      <c r="A31" s="38" t="s">
        <v>387</v>
      </c>
      <c r="B31" s="39" t="s">
        <v>388</v>
      </c>
      <c r="C31" s="14" t="s">
        <v>389</v>
      </c>
      <c r="D31" s="14" t="s">
        <v>390</v>
      </c>
      <c r="E31" s="14" t="s">
        <v>391</v>
      </c>
      <c r="F31" s="42" t="s">
        <v>392</v>
      </c>
      <c r="G31" s="14"/>
      <c r="H31" s="14"/>
      <c r="I31" s="14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Format="false" ht="15.7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customFormat="false" ht="15.7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2.38"/>
    <col collapsed="false" customWidth="true" hidden="false" outlineLevel="0" max="3" min="3" style="0" width="18.75"/>
    <col collapsed="false" customWidth="true" hidden="false" outlineLevel="0" max="4" min="4" style="0" width="18.88"/>
    <col collapsed="false" customWidth="true" hidden="false" outlineLevel="0" max="5" min="5" style="0" width="20"/>
    <col collapsed="false" customWidth="true" hidden="false" outlineLevel="0" max="6" min="6" style="0" width="20.63"/>
    <col collapsed="false" customWidth="true" hidden="false" outlineLevel="0" max="7" min="7" style="0" width="17.5"/>
    <col collapsed="false" customWidth="true" hidden="false" outlineLevel="0" max="8" min="8" style="0" width="24.38"/>
    <col collapsed="false" customWidth="true" hidden="false" outlineLevel="0" max="9" min="9" style="0" width="14.51"/>
  </cols>
  <sheetData>
    <row r="1" customFormat="false" ht="26.8" hidden="false" customHeight="false" outlineLevel="0" collapsed="false">
      <c r="A1" s="37" t="s">
        <v>393</v>
      </c>
      <c r="B1" s="37"/>
      <c r="C1" s="37"/>
      <c r="D1" s="37"/>
      <c r="E1" s="37"/>
      <c r="F1" s="37"/>
      <c r="G1" s="37"/>
      <c r="H1" s="37"/>
      <c r="I1" s="37"/>
    </row>
    <row r="2" customFormat="false" ht="17.35" hidden="false" customHeight="false" outlineLevel="0" collapsed="false">
      <c r="A2" s="6" t="s">
        <v>46</v>
      </c>
      <c r="B2" s="6"/>
      <c r="C2" s="6"/>
      <c r="D2" s="6"/>
      <c r="E2" s="6"/>
      <c r="F2" s="6" t="s">
        <v>306</v>
      </c>
      <c r="G2" s="6"/>
      <c r="H2" s="6"/>
      <c r="I2" s="6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394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</row>
    <row r="4" customFormat="false" ht="15.75" hidden="false" customHeight="false" outlineLevel="0" collapsed="false">
      <c r="A4" s="43" t="n">
        <v>1</v>
      </c>
      <c r="B4" s="44" t="s">
        <v>395</v>
      </c>
      <c r="C4" s="27" t="n">
        <v>171</v>
      </c>
      <c r="D4" s="14" t="s">
        <v>396</v>
      </c>
      <c r="E4" s="14" t="s">
        <v>397</v>
      </c>
      <c r="F4" s="27" t="s">
        <v>398</v>
      </c>
      <c r="G4" s="14"/>
      <c r="H4" s="14"/>
      <c r="I4" s="14"/>
    </row>
    <row r="5" customFormat="false" ht="15.75" hidden="false" customHeight="false" outlineLevel="0" collapsed="false">
      <c r="A5" s="43" t="n">
        <v>2</v>
      </c>
      <c r="B5" s="44" t="s">
        <v>399</v>
      </c>
      <c r="C5" s="27" t="n">
        <v>156</v>
      </c>
      <c r="D5" s="12" t="s">
        <v>400</v>
      </c>
      <c r="E5" s="12" t="s">
        <v>400</v>
      </c>
      <c r="F5" s="27" t="s">
        <v>401</v>
      </c>
      <c r="G5" s="12"/>
      <c r="H5" s="12"/>
      <c r="I5" s="12"/>
    </row>
    <row r="6" customFormat="false" ht="15.75" hidden="false" customHeight="false" outlineLevel="0" collapsed="false">
      <c r="A6" s="43" t="n">
        <v>3</v>
      </c>
      <c r="B6" s="44" t="s">
        <v>402</v>
      </c>
      <c r="C6" s="27" t="n">
        <v>158</v>
      </c>
      <c r="D6" s="14"/>
      <c r="E6" s="14" t="s">
        <v>403</v>
      </c>
      <c r="F6" s="27" t="s">
        <v>404</v>
      </c>
      <c r="G6" s="14"/>
      <c r="H6" s="14"/>
      <c r="I6" s="14"/>
    </row>
    <row r="7" customFormat="false" ht="15.75" hidden="false" customHeight="false" outlineLevel="0" collapsed="false">
      <c r="A7" s="43" t="n">
        <v>4</v>
      </c>
      <c r="B7" s="44" t="s">
        <v>405</v>
      </c>
      <c r="C7" s="27" t="n">
        <v>129</v>
      </c>
      <c r="D7" s="12" t="s">
        <v>406</v>
      </c>
      <c r="E7" s="12" t="s">
        <v>407</v>
      </c>
      <c r="F7" s="27" t="s">
        <v>408</v>
      </c>
      <c r="G7" s="12"/>
      <c r="H7" s="12"/>
      <c r="I7" s="12"/>
    </row>
    <row r="8" customFormat="false" ht="15.75" hidden="false" customHeight="false" outlineLevel="0" collapsed="false">
      <c r="A8" s="43" t="n">
        <v>5</v>
      </c>
      <c r="B8" s="44" t="s">
        <v>409</v>
      </c>
      <c r="C8" s="27" t="n">
        <v>130</v>
      </c>
      <c r="D8" s="14" t="s">
        <v>410</v>
      </c>
      <c r="E8" s="14" t="s">
        <v>411</v>
      </c>
      <c r="F8" s="45" t="n">
        <v>36561</v>
      </c>
      <c r="G8" s="14"/>
      <c r="H8" s="14"/>
      <c r="I8" s="14"/>
    </row>
    <row r="9" customFormat="false" ht="15.75" hidden="false" customHeight="false" outlineLevel="0" collapsed="false">
      <c r="A9" s="43" t="n">
        <v>6</v>
      </c>
      <c r="B9" s="44" t="s">
        <v>412</v>
      </c>
      <c r="C9" s="27" t="n">
        <v>131</v>
      </c>
      <c r="D9" s="12" t="s">
        <v>413</v>
      </c>
      <c r="E9" s="12" t="s">
        <v>414</v>
      </c>
      <c r="F9" s="27" t="s">
        <v>415</v>
      </c>
      <c r="G9" s="12"/>
      <c r="H9" s="12"/>
      <c r="I9" s="12"/>
    </row>
    <row r="10" customFormat="false" ht="15.75" hidden="false" customHeight="false" outlineLevel="0" collapsed="false">
      <c r="A10" s="43" t="n">
        <v>7</v>
      </c>
      <c r="B10" s="44" t="s">
        <v>416</v>
      </c>
      <c r="C10" s="27" t="n">
        <v>133</v>
      </c>
      <c r="D10" s="14" t="s">
        <v>417</v>
      </c>
      <c r="E10" s="14" t="s">
        <v>418</v>
      </c>
      <c r="F10" s="27" t="s">
        <v>419</v>
      </c>
      <c r="G10" s="14"/>
      <c r="H10" s="14"/>
      <c r="I10" s="14"/>
    </row>
    <row r="11" customFormat="false" ht="15.75" hidden="false" customHeight="false" outlineLevel="0" collapsed="false">
      <c r="A11" s="43" t="n">
        <v>8</v>
      </c>
      <c r="B11" s="44" t="s">
        <v>420</v>
      </c>
      <c r="C11" s="27" t="n">
        <v>134</v>
      </c>
      <c r="D11" s="12" t="s">
        <v>421</v>
      </c>
      <c r="E11" s="12" t="s">
        <v>422</v>
      </c>
      <c r="F11" s="27" t="s">
        <v>423</v>
      </c>
      <c r="G11" s="12"/>
      <c r="H11" s="12"/>
      <c r="I11" s="12"/>
    </row>
    <row r="12" customFormat="false" ht="15.75" hidden="false" customHeight="false" outlineLevel="0" collapsed="false">
      <c r="A12" s="43" t="n">
        <v>9</v>
      </c>
      <c r="B12" s="44" t="s">
        <v>424</v>
      </c>
      <c r="C12" s="27" t="n">
        <v>147</v>
      </c>
      <c r="D12" s="14" t="s">
        <v>425</v>
      </c>
      <c r="E12" s="14" t="s">
        <v>426</v>
      </c>
      <c r="F12" s="27" t="s">
        <v>427</v>
      </c>
      <c r="G12" s="14"/>
      <c r="H12" s="14"/>
      <c r="I12" s="14"/>
    </row>
    <row r="13" customFormat="false" ht="15.75" hidden="false" customHeight="false" outlineLevel="0" collapsed="false">
      <c r="A13" s="43" t="n">
        <v>10</v>
      </c>
      <c r="B13" s="44" t="s">
        <v>428</v>
      </c>
      <c r="C13" s="27" t="n">
        <v>141</v>
      </c>
      <c r="D13" s="12" t="s">
        <v>429</v>
      </c>
      <c r="E13" s="12" t="s">
        <v>429</v>
      </c>
      <c r="F13" s="27" t="s">
        <v>430</v>
      </c>
      <c r="G13" s="12"/>
      <c r="H13" s="12"/>
      <c r="I13" s="12"/>
    </row>
    <row r="14" customFormat="false" ht="15.75" hidden="false" customHeight="false" outlineLevel="0" collapsed="false">
      <c r="A14" s="43" t="n">
        <v>11</v>
      </c>
      <c r="B14" s="44" t="s">
        <v>431</v>
      </c>
      <c r="C14" s="27" t="n">
        <v>142</v>
      </c>
      <c r="D14" s="14" t="s">
        <v>432</v>
      </c>
      <c r="E14" s="14"/>
      <c r="F14" s="27" t="s">
        <v>433</v>
      </c>
      <c r="G14" s="14"/>
      <c r="H14" s="14"/>
      <c r="I14" s="14"/>
    </row>
    <row r="15" customFormat="false" ht="15.75" hidden="false" customHeight="false" outlineLevel="0" collapsed="false">
      <c r="A15" s="43" t="n">
        <v>12</v>
      </c>
      <c r="B15" s="44" t="s">
        <v>434</v>
      </c>
      <c r="C15" s="27" t="n">
        <v>140</v>
      </c>
      <c r="D15" s="12" t="s">
        <v>435</v>
      </c>
      <c r="E15" s="12" t="s">
        <v>436</v>
      </c>
      <c r="F15" s="45" t="n">
        <v>37419</v>
      </c>
      <c r="G15" s="12"/>
      <c r="H15" s="12"/>
      <c r="I15" s="12"/>
    </row>
    <row r="16" customFormat="false" ht="15.75" hidden="false" customHeight="false" outlineLevel="0" collapsed="false">
      <c r="A16" s="43" t="n">
        <v>13</v>
      </c>
      <c r="B16" s="44" t="s">
        <v>437</v>
      </c>
      <c r="C16" s="27" t="n">
        <v>139</v>
      </c>
      <c r="D16" s="14" t="s">
        <v>67</v>
      </c>
      <c r="E16" s="14" t="s">
        <v>438</v>
      </c>
      <c r="F16" s="45" t="n">
        <v>37357</v>
      </c>
      <c r="G16" s="14"/>
      <c r="H16" s="14"/>
      <c r="I16" s="14"/>
    </row>
    <row r="17" customFormat="false" ht="15.75" hidden="false" customHeight="false" outlineLevel="0" collapsed="false">
      <c r="A17" s="43" t="n">
        <v>14</v>
      </c>
      <c r="B17" s="44" t="s">
        <v>439</v>
      </c>
      <c r="C17" s="27" t="n">
        <v>138</v>
      </c>
      <c r="D17" s="12" t="s">
        <v>440</v>
      </c>
      <c r="E17" s="12" t="s">
        <v>441</v>
      </c>
      <c r="F17" s="45" t="n">
        <v>39663</v>
      </c>
      <c r="G17" s="12"/>
      <c r="H17" s="12"/>
      <c r="I17" s="12"/>
    </row>
    <row r="18" customFormat="false" ht="15.75" hidden="false" customHeight="false" outlineLevel="0" collapsed="false">
      <c r="A18" s="43" t="n">
        <v>15</v>
      </c>
      <c r="B18" s="44" t="s">
        <v>442</v>
      </c>
      <c r="C18" s="27" t="n">
        <v>144</v>
      </c>
      <c r="D18" s="14" t="s">
        <v>443</v>
      </c>
      <c r="E18" s="14" t="s">
        <v>444</v>
      </c>
      <c r="F18" s="45" t="n">
        <v>36102</v>
      </c>
      <c r="G18" s="14"/>
      <c r="H18" s="14"/>
      <c r="I18" s="14"/>
    </row>
    <row r="19" customFormat="false" ht="15.75" hidden="false" customHeight="false" outlineLevel="0" collapsed="false">
      <c r="A19" s="43" t="n">
        <v>16</v>
      </c>
      <c r="B19" s="44" t="s">
        <v>445</v>
      </c>
      <c r="C19" s="27" t="n">
        <v>135</v>
      </c>
      <c r="D19" s="12" t="s">
        <v>446</v>
      </c>
      <c r="E19" s="12" t="s">
        <v>447</v>
      </c>
      <c r="F19" s="27" t="s">
        <v>448</v>
      </c>
      <c r="G19" s="12"/>
      <c r="H19" s="12"/>
      <c r="I19" s="12"/>
    </row>
    <row r="20" customFormat="false" ht="15.75" hidden="false" customHeight="false" outlineLevel="0" collapsed="false">
      <c r="A20" s="43" t="n">
        <v>17</v>
      </c>
      <c r="B20" s="44" t="s">
        <v>449</v>
      </c>
      <c r="C20" s="27" t="n">
        <v>149</v>
      </c>
      <c r="D20" s="14" t="s">
        <v>450</v>
      </c>
      <c r="E20" s="14" t="s">
        <v>451</v>
      </c>
      <c r="F20" s="27" t="s">
        <v>452</v>
      </c>
      <c r="G20" s="14"/>
      <c r="H20" s="14"/>
      <c r="I20" s="14"/>
    </row>
    <row r="21" customFormat="false" ht="15.75" hidden="false" customHeight="false" outlineLevel="0" collapsed="false">
      <c r="A21" s="43" t="n">
        <v>18</v>
      </c>
      <c r="B21" s="44" t="s">
        <v>453</v>
      </c>
      <c r="C21" s="27" t="n">
        <v>137</v>
      </c>
      <c r="D21" s="12" t="s">
        <v>454</v>
      </c>
      <c r="E21" s="12" t="s">
        <v>455</v>
      </c>
      <c r="F21" s="45" t="n">
        <v>37258</v>
      </c>
      <c r="G21" s="12"/>
      <c r="H21" s="12"/>
      <c r="I21" s="12"/>
    </row>
    <row r="22" customFormat="false" ht="15.75" hidden="false" customHeight="false" outlineLevel="0" collapsed="false">
      <c r="A22" s="43" t="n">
        <v>19</v>
      </c>
      <c r="B22" s="44" t="s">
        <v>456</v>
      </c>
      <c r="C22" s="27" t="n">
        <v>124</v>
      </c>
      <c r="D22" s="14" t="s">
        <v>457</v>
      </c>
      <c r="E22" s="14"/>
      <c r="F22" s="27" t="s">
        <v>458</v>
      </c>
      <c r="G22" s="14"/>
      <c r="H22" s="14"/>
      <c r="I22" s="14"/>
    </row>
    <row r="23" customFormat="false" ht="15.75" hidden="false" customHeight="false" outlineLevel="0" collapsed="false">
      <c r="A23" s="43" t="n">
        <v>20</v>
      </c>
      <c r="B23" s="44" t="s">
        <v>459</v>
      </c>
      <c r="C23" s="27" t="n">
        <v>132</v>
      </c>
      <c r="D23" s="12" t="s">
        <v>460</v>
      </c>
      <c r="E23" s="12" t="s">
        <v>461</v>
      </c>
      <c r="F23" s="45" t="n">
        <v>36526</v>
      </c>
      <c r="G23" s="12"/>
      <c r="H23" s="12"/>
      <c r="I23" s="12"/>
    </row>
    <row r="24" customFormat="false" ht="15.75" hidden="false" customHeight="false" outlineLevel="0" collapsed="false">
      <c r="A24" s="43" t="n">
        <v>21</v>
      </c>
      <c r="B24" s="44" t="s">
        <v>462</v>
      </c>
      <c r="C24" s="27" t="n">
        <v>126</v>
      </c>
      <c r="D24" s="14" t="s">
        <v>463</v>
      </c>
      <c r="E24" s="14"/>
      <c r="F24" s="27" t="s">
        <v>464</v>
      </c>
      <c r="G24" s="14"/>
      <c r="H24" s="14"/>
      <c r="I24" s="14"/>
    </row>
    <row r="25" customFormat="false" ht="15.75" hidden="false" customHeight="false" outlineLevel="0" collapsed="false">
      <c r="A25" s="43" t="n">
        <v>22</v>
      </c>
      <c r="B25" s="44" t="s">
        <v>465</v>
      </c>
      <c r="C25" s="27" t="n">
        <v>145</v>
      </c>
      <c r="D25" s="12" t="s">
        <v>466</v>
      </c>
      <c r="E25" s="12" t="s">
        <v>467</v>
      </c>
      <c r="F25" s="27" t="s">
        <v>468</v>
      </c>
      <c r="G25" s="12"/>
      <c r="H25" s="12"/>
      <c r="I25" s="12"/>
    </row>
    <row r="26" customFormat="false" ht="15.75" hidden="false" customHeight="false" outlineLevel="0" collapsed="false">
      <c r="A26" s="43" t="n">
        <v>23</v>
      </c>
      <c r="B26" s="44" t="s">
        <v>469</v>
      </c>
      <c r="C26" s="27" t="n">
        <v>151</v>
      </c>
      <c r="D26" s="14" t="s">
        <v>470</v>
      </c>
      <c r="E26" s="14" t="s">
        <v>471</v>
      </c>
      <c r="F26" s="27" t="s">
        <v>472</v>
      </c>
      <c r="G26" s="14"/>
      <c r="H26" s="14"/>
      <c r="I26" s="14"/>
    </row>
    <row r="27" customFormat="false" ht="15.75" hidden="false" customHeight="false" outlineLevel="0" collapsed="false">
      <c r="A27" s="43" t="n">
        <v>24</v>
      </c>
      <c r="B27" s="44" t="s">
        <v>473</v>
      </c>
      <c r="C27" s="27" t="n">
        <v>148</v>
      </c>
      <c r="D27" s="12" t="s">
        <v>474</v>
      </c>
      <c r="E27" s="12" t="s">
        <v>475</v>
      </c>
      <c r="F27" s="45" t="n">
        <v>36199</v>
      </c>
      <c r="G27" s="12"/>
      <c r="H27" s="12"/>
      <c r="I27" s="12"/>
    </row>
    <row r="28" customFormat="false" ht="15.75" hidden="false" customHeight="false" outlineLevel="0" collapsed="false">
      <c r="A28" s="43" t="n">
        <v>25</v>
      </c>
      <c r="B28" s="44" t="s">
        <v>476</v>
      </c>
      <c r="C28" s="27" t="n">
        <v>152</v>
      </c>
      <c r="D28" s="14" t="s">
        <v>477</v>
      </c>
      <c r="E28" s="14" t="s">
        <v>478</v>
      </c>
      <c r="F28" s="45" t="n">
        <v>36862</v>
      </c>
      <c r="G28" s="14"/>
      <c r="H28" s="14"/>
      <c r="I28" s="14"/>
    </row>
    <row r="29" customFormat="false" ht="15.75" hidden="false" customHeight="false" outlineLevel="0" collapsed="false">
      <c r="A29" s="43" t="n">
        <v>26</v>
      </c>
      <c r="B29" s="44" t="s">
        <v>479</v>
      </c>
      <c r="C29" s="27" t="n">
        <v>152</v>
      </c>
      <c r="D29" s="14" t="s">
        <v>480</v>
      </c>
      <c r="E29" s="14" t="s">
        <v>481</v>
      </c>
      <c r="F29" s="45" t="n">
        <v>34003</v>
      </c>
      <c r="G29" s="14"/>
      <c r="H29" s="14"/>
      <c r="I29" s="14"/>
    </row>
    <row r="30" customFormat="false" ht="15.75" hidden="false" customHeight="false" outlineLevel="0" collapsed="false">
      <c r="A30" s="43" t="n">
        <v>27</v>
      </c>
      <c r="B30" s="44" t="s">
        <v>482</v>
      </c>
      <c r="C30" s="27" t="n">
        <v>118</v>
      </c>
      <c r="D30" s="14" t="s">
        <v>483</v>
      </c>
      <c r="E30" s="14" t="s">
        <v>484</v>
      </c>
      <c r="F30" s="45" t="n">
        <v>38322</v>
      </c>
      <c r="G30" s="14"/>
      <c r="H30" s="14"/>
      <c r="I30" s="14"/>
    </row>
    <row r="31" customFormat="false" ht="15.75" hidden="false" customHeight="false" outlineLevel="0" collapsed="false">
      <c r="A31" s="43" t="n">
        <v>28</v>
      </c>
      <c r="B31" s="44" t="s">
        <v>485</v>
      </c>
      <c r="C31" s="27" t="n">
        <v>117</v>
      </c>
      <c r="D31" s="14" t="s">
        <v>486</v>
      </c>
      <c r="E31" s="14" t="s">
        <v>487</v>
      </c>
      <c r="F31" s="27" t="s">
        <v>488</v>
      </c>
      <c r="G31" s="14"/>
      <c r="H31" s="14"/>
      <c r="I31" s="14"/>
    </row>
    <row r="32" customFormat="false" ht="15.75" hidden="false" customHeight="false" outlineLevel="0" collapsed="false">
      <c r="A32" s="43" t="n">
        <v>29</v>
      </c>
      <c r="B32" s="44" t="s">
        <v>489</v>
      </c>
      <c r="C32" s="27" t="n">
        <v>119</v>
      </c>
      <c r="D32" s="14" t="s">
        <v>490</v>
      </c>
      <c r="E32" s="14"/>
      <c r="F32" s="27" t="s">
        <v>491</v>
      </c>
      <c r="G32" s="14"/>
      <c r="H32" s="14"/>
      <c r="I32" s="14"/>
    </row>
    <row r="33" customFormat="false" ht="15.75" hidden="false" customHeight="false" outlineLevel="0" collapsed="false">
      <c r="A33" s="43" t="n">
        <v>30</v>
      </c>
      <c r="B33" s="44" t="s">
        <v>492</v>
      </c>
      <c r="C33" s="27" t="n">
        <v>120</v>
      </c>
      <c r="D33" s="14" t="s">
        <v>493</v>
      </c>
      <c r="E33" s="14" t="s">
        <v>494</v>
      </c>
      <c r="F33" s="45" t="n">
        <v>37322</v>
      </c>
      <c r="G33" s="14"/>
      <c r="H33" s="14"/>
      <c r="I33" s="14"/>
    </row>
    <row r="34" customFormat="false" ht="15.75" hidden="false" customHeight="false" outlineLevel="0" collapsed="false">
      <c r="A34" s="43" t="n">
        <v>31</v>
      </c>
      <c r="B34" s="44" t="s">
        <v>495</v>
      </c>
      <c r="C34" s="27" t="n">
        <v>109</v>
      </c>
      <c r="D34" s="14" t="s">
        <v>496</v>
      </c>
      <c r="E34" s="14" t="s">
        <v>497</v>
      </c>
      <c r="F34" s="45" t="n">
        <v>35613</v>
      </c>
      <c r="G34" s="14"/>
      <c r="H34" s="14"/>
      <c r="I34" s="14"/>
    </row>
    <row r="35" customFormat="false" ht="15.75" hidden="false" customHeight="false" outlineLevel="0" collapsed="false">
      <c r="A35" s="43" t="n">
        <v>32</v>
      </c>
      <c r="B35" s="44" t="s">
        <v>498</v>
      </c>
      <c r="C35" s="27" t="n">
        <v>108</v>
      </c>
      <c r="D35" s="14" t="s">
        <v>499</v>
      </c>
      <c r="E35" s="14" t="s">
        <v>500</v>
      </c>
      <c r="F35" s="45" t="n">
        <v>33271</v>
      </c>
      <c r="G35" s="14"/>
      <c r="H35" s="14"/>
      <c r="I35" s="14"/>
    </row>
    <row r="36" customFormat="false" ht="15.75" hidden="false" customHeight="false" outlineLevel="0" collapsed="false">
      <c r="A36" s="12"/>
      <c r="B36" s="44"/>
      <c r="C36" s="27"/>
      <c r="D36" s="14"/>
      <c r="E36" s="14"/>
      <c r="F36" s="27"/>
      <c r="G36" s="14"/>
      <c r="H36" s="14"/>
      <c r="I36" s="14"/>
    </row>
    <row r="37" customFormat="false" ht="15.75" hidden="false" customHeight="false" outlineLevel="0" collapsed="false">
      <c r="A37" s="12"/>
      <c r="B37" s="27"/>
      <c r="C37" s="27"/>
      <c r="D37" s="14"/>
      <c r="E37" s="14"/>
      <c r="F37" s="27"/>
      <c r="G37" s="14"/>
      <c r="H37" s="14"/>
      <c r="I37" s="14"/>
    </row>
    <row r="38" customFormat="false" ht="15.75" hidden="false" customHeight="false" outlineLevel="0" collapsed="false">
      <c r="A38" s="12"/>
      <c r="B38" s="27"/>
      <c r="C38" s="27"/>
      <c r="D38" s="14"/>
      <c r="E38" s="14"/>
      <c r="F38" s="14"/>
      <c r="G38" s="14"/>
      <c r="H38" s="14"/>
      <c r="I38" s="14"/>
    </row>
    <row r="39" customFormat="false" ht="15.75" hidden="false" customHeight="false" outlineLevel="0" collapsed="false">
      <c r="A39" s="12"/>
      <c r="B39" s="27"/>
      <c r="C39" s="27"/>
      <c r="D39" s="14"/>
      <c r="E39" s="14"/>
      <c r="F39" s="14"/>
      <c r="G39" s="14"/>
      <c r="H39" s="14"/>
      <c r="I39" s="14"/>
    </row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1.25"/>
    <col collapsed="false" customWidth="true" hidden="false" outlineLevel="0" max="4" min="4" style="0" width="27.63"/>
    <col collapsed="false" customWidth="true" hidden="false" outlineLevel="0" max="5" min="5" style="0" width="21"/>
    <col collapsed="false" customWidth="true" hidden="false" outlineLevel="0" max="6" min="6" style="0" width="17.88"/>
    <col collapsed="false" customWidth="true" hidden="false" outlineLevel="0" max="7" min="7" style="0" width="14.63"/>
    <col collapsed="false" customWidth="true" hidden="false" outlineLevel="0" max="8" min="8" style="0" width="24"/>
    <col collapsed="false" customWidth="true" hidden="false" outlineLevel="0" max="9" min="9" style="0" width="16.63"/>
  </cols>
  <sheetData>
    <row r="1" customFormat="false" ht="26.8" hidden="false" customHeight="false" outlineLevel="0" collapsed="false">
      <c r="A1" s="37" t="s">
        <v>501</v>
      </c>
      <c r="B1" s="37"/>
      <c r="C1" s="37"/>
      <c r="D1" s="37"/>
      <c r="E1" s="37"/>
      <c r="F1" s="37"/>
      <c r="G1" s="37"/>
      <c r="H1" s="37"/>
      <c r="I1" s="37"/>
      <c r="J1" s="5"/>
    </row>
    <row r="2" customFormat="false" ht="17.35" hidden="false" customHeight="false" outlineLevel="0" collapsed="false">
      <c r="A2" s="6" t="s">
        <v>305</v>
      </c>
      <c r="B2" s="6"/>
      <c r="C2" s="6"/>
      <c r="D2" s="6"/>
      <c r="E2" s="6"/>
      <c r="F2" s="6" t="s">
        <v>306</v>
      </c>
      <c r="G2" s="6"/>
      <c r="H2" s="6"/>
      <c r="I2" s="6"/>
      <c r="J2" s="5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394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  <c r="J3" s="5"/>
    </row>
    <row r="4" customFormat="false" ht="15.75" hidden="false" customHeight="false" outlineLevel="0" collapsed="false">
      <c r="A4" s="43" t="n">
        <v>1</v>
      </c>
      <c r="B4" s="44" t="s">
        <v>502</v>
      </c>
      <c r="C4" s="27" t="n">
        <v>190</v>
      </c>
      <c r="D4" s="14" t="n">
        <v>1841561838</v>
      </c>
      <c r="E4" s="14" t="n">
        <v>1724761838</v>
      </c>
      <c r="F4" s="42" t="n">
        <v>38232</v>
      </c>
      <c r="G4" s="11"/>
      <c r="H4" s="11"/>
      <c r="I4" s="11"/>
      <c r="J4" s="5"/>
    </row>
    <row r="5" customFormat="false" ht="15.75" hidden="false" customHeight="false" outlineLevel="0" collapsed="false">
      <c r="A5" s="43" t="n">
        <v>2</v>
      </c>
      <c r="B5" s="44" t="s">
        <v>90</v>
      </c>
      <c r="C5" s="27" t="n">
        <v>193</v>
      </c>
      <c r="D5" s="12" t="n">
        <v>1784883491</v>
      </c>
      <c r="E5" s="12" t="n">
        <v>1711663693</v>
      </c>
      <c r="F5" s="41" t="n">
        <v>38477</v>
      </c>
      <c r="G5" s="13"/>
      <c r="H5" s="13"/>
      <c r="I5" s="13"/>
      <c r="J5" s="5"/>
    </row>
    <row r="6" customFormat="false" ht="15.75" hidden="false" customHeight="false" outlineLevel="0" collapsed="false">
      <c r="A6" s="43" t="n">
        <v>3</v>
      </c>
      <c r="B6" s="44" t="s">
        <v>503</v>
      </c>
      <c r="C6" s="27" t="n">
        <v>195</v>
      </c>
      <c r="D6" s="14" t="n">
        <v>1407713344</v>
      </c>
      <c r="E6" s="14" t="n">
        <v>1742566344</v>
      </c>
      <c r="F6" s="42" t="n">
        <v>38170</v>
      </c>
      <c r="G6" s="11"/>
      <c r="H6" s="11"/>
      <c r="I6" s="11"/>
      <c r="J6" s="5"/>
    </row>
    <row r="7" customFormat="false" ht="15.75" hidden="false" customHeight="false" outlineLevel="0" collapsed="false">
      <c r="A7" s="43" t="n">
        <v>4</v>
      </c>
      <c r="B7" s="44" t="s">
        <v>504</v>
      </c>
      <c r="C7" s="27" t="n">
        <v>25109</v>
      </c>
      <c r="D7" s="12" t="n">
        <v>1743606008</v>
      </c>
      <c r="E7" s="12" t="n">
        <v>1742566344</v>
      </c>
      <c r="F7" s="12" t="s">
        <v>505</v>
      </c>
      <c r="G7" s="13"/>
      <c r="H7" s="13"/>
      <c r="I7" s="13"/>
      <c r="J7" s="5"/>
    </row>
    <row r="8" customFormat="false" ht="15.75" hidden="false" customHeight="false" outlineLevel="0" collapsed="false">
      <c r="A8" s="43" t="n">
        <v>5</v>
      </c>
      <c r="B8" s="44" t="s">
        <v>506</v>
      </c>
      <c r="C8" s="27" t="n">
        <v>197</v>
      </c>
      <c r="D8" s="14" t="n">
        <v>1611114494</v>
      </c>
      <c r="E8" s="14" t="n">
        <v>1978488787</v>
      </c>
      <c r="F8" s="42" t="n">
        <v>35920</v>
      </c>
      <c r="G8" s="11"/>
      <c r="H8" s="11"/>
      <c r="I8" s="11"/>
      <c r="J8" s="11"/>
    </row>
    <row r="9" customFormat="false" ht="15.75" hidden="false" customHeight="false" outlineLevel="0" collapsed="false">
      <c r="A9" s="43" t="n">
        <v>6</v>
      </c>
      <c r="B9" s="44" t="s">
        <v>507</v>
      </c>
      <c r="C9" s="27" t="n">
        <v>194</v>
      </c>
      <c r="D9" s="12" t="n">
        <v>1841827218</v>
      </c>
      <c r="E9" s="12" t="n">
        <v>1712727217</v>
      </c>
      <c r="F9" s="46" t="n">
        <v>38332</v>
      </c>
      <c r="G9" s="13"/>
      <c r="H9" s="13"/>
      <c r="I9" s="13"/>
      <c r="J9" s="5"/>
    </row>
    <row r="10" customFormat="false" ht="15.75" hidden="false" customHeight="false" outlineLevel="0" collapsed="false">
      <c r="A10" s="47"/>
      <c r="B10" s="14"/>
      <c r="C10" s="14"/>
      <c r="D10" s="14"/>
      <c r="E10" s="14"/>
      <c r="F10" s="14"/>
      <c r="G10" s="11"/>
      <c r="H10" s="11"/>
      <c r="I10" s="11"/>
      <c r="J10" s="5"/>
    </row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</sheetData>
  <mergeCells count="3">
    <mergeCell ref="A1:I1"/>
    <mergeCell ref="A2:E2"/>
    <mergeCell ref="F2:I2"/>
  </mergeCells>
  <dataValidations count="1">
    <dataValidation allowBlank="true" errorStyle="stop" operator="between" showDropDown="true" showErrorMessage="false" showInputMessage="false" sqref="A10" type="custom">
      <formula1>OR(NOT(ISERROR(DATEVALUE(A10))), AND(ISNUMBER(A10), LEFT(CELL("format", A10))="D"))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24.88"/>
    <col collapsed="false" customWidth="true" hidden="false" outlineLevel="0" max="3" min="3" style="0" width="21.88"/>
    <col collapsed="false" customWidth="true" hidden="false" outlineLevel="0" max="4" min="4" style="0" width="19.38"/>
    <col collapsed="false" customWidth="true" hidden="false" outlineLevel="0" max="5" min="5" style="0" width="22.38"/>
    <col collapsed="false" customWidth="true" hidden="false" outlineLevel="0" max="6" min="6" style="0" width="17.88"/>
    <col collapsed="false" customWidth="true" hidden="false" outlineLevel="0" max="7" min="7" style="0" width="19.25"/>
    <col collapsed="false" customWidth="true" hidden="false" outlineLevel="0" max="8" min="8" style="0" width="24"/>
  </cols>
  <sheetData>
    <row r="1" customFormat="false" ht="26.8" hidden="false" customHeight="false" outlineLevel="0" collapsed="false">
      <c r="A1" s="37" t="s">
        <v>17</v>
      </c>
      <c r="B1" s="37"/>
      <c r="C1" s="37"/>
      <c r="D1" s="37"/>
      <c r="E1" s="37"/>
      <c r="F1" s="37"/>
      <c r="G1" s="37"/>
      <c r="H1" s="37"/>
      <c r="I1" s="37"/>
    </row>
    <row r="2" customFormat="false" ht="17.35" hidden="false" customHeight="false" outlineLevel="0" collapsed="false">
      <c r="A2" s="6" t="s">
        <v>305</v>
      </c>
      <c r="B2" s="6"/>
      <c r="C2" s="6"/>
      <c r="D2" s="6"/>
      <c r="E2" s="6"/>
      <c r="F2" s="6" t="s">
        <v>306</v>
      </c>
      <c r="G2" s="6"/>
      <c r="H2" s="6"/>
      <c r="I2" s="6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394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</row>
    <row r="4" customFormat="false" ht="15.75" hidden="false" customHeight="false" outlineLevel="0" collapsed="false">
      <c r="A4" s="43" t="n">
        <v>1</v>
      </c>
      <c r="B4" s="48" t="s">
        <v>508</v>
      </c>
      <c r="C4" s="27" t="n">
        <v>214</v>
      </c>
      <c r="D4" s="27" t="n">
        <v>1792252125</v>
      </c>
      <c r="E4" s="27" t="n">
        <v>1914197796</v>
      </c>
      <c r="F4" s="27" t="s">
        <v>509</v>
      </c>
      <c r="G4" s="11"/>
      <c r="H4" s="11"/>
      <c r="I4" s="11"/>
    </row>
    <row r="5" customFormat="false" ht="15.75" hidden="false" customHeight="false" outlineLevel="0" collapsed="false">
      <c r="A5" s="43" t="n">
        <v>2</v>
      </c>
      <c r="B5" s="48" t="s">
        <v>510</v>
      </c>
      <c r="C5" s="27" t="n">
        <v>213</v>
      </c>
      <c r="D5" s="27" t="n">
        <v>1707764197</v>
      </c>
      <c r="E5" s="27" t="n">
        <v>1914197796</v>
      </c>
      <c r="F5" s="27" t="s">
        <v>511</v>
      </c>
      <c r="G5" s="13"/>
      <c r="H5" s="13"/>
      <c r="I5" s="13"/>
    </row>
    <row r="6" customFormat="false" ht="15.75" hidden="false" customHeight="false" outlineLevel="0" collapsed="false">
      <c r="A6" s="43" t="n">
        <v>3</v>
      </c>
      <c r="B6" s="48" t="s">
        <v>92</v>
      </c>
      <c r="C6" s="27" t="n">
        <v>211</v>
      </c>
      <c r="D6" s="27" t="n">
        <v>1997735946</v>
      </c>
      <c r="E6" s="27" t="n">
        <v>1719050659</v>
      </c>
      <c r="F6" s="27" t="s">
        <v>512</v>
      </c>
      <c r="G6" s="11"/>
      <c r="H6" s="11"/>
      <c r="I6" s="11"/>
    </row>
    <row r="7" customFormat="false" ht="15.75" hidden="false" customHeight="false" outlineLevel="0" collapsed="false">
      <c r="A7" s="43" t="n">
        <v>4</v>
      </c>
      <c r="B7" s="48" t="s">
        <v>513</v>
      </c>
      <c r="C7" s="27" t="n">
        <v>210</v>
      </c>
      <c r="D7" s="27" t="n">
        <v>1639440531</v>
      </c>
      <c r="E7" s="27" t="n">
        <v>1837458138</v>
      </c>
      <c r="F7" s="45" t="n">
        <v>37447</v>
      </c>
      <c r="G7" s="13"/>
      <c r="H7" s="13"/>
      <c r="I7" s="13"/>
    </row>
    <row r="8" customFormat="false" ht="15.75" hidden="false" customHeight="false" outlineLevel="0" collapsed="false">
      <c r="A8" s="43" t="n">
        <v>5</v>
      </c>
      <c r="B8" s="48" t="s">
        <v>94</v>
      </c>
      <c r="C8" s="27" t="n">
        <v>208</v>
      </c>
      <c r="D8" s="27" t="n">
        <v>1884338224</v>
      </c>
      <c r="E8" s="49"/>
      <c r="F8" s="27" t="s">
        <v>514</v>
      </c>
      <c r="G8" s="11"/>
      <c r="H8" s="11"/>
      <c r="I8" s="11"/>
    </row>
    <row r="9" customFormat="false" ht="15.75" hidden="false" customHeight="false" outlineLevel="0" collapsed="false">
      <c r="A9" s="43" t="n">
        <v>6</v>
      </c>
      <c r="B9" s="48" t="s">
        <v>515</v>
      </c>
      <c r="C9" s="27" t="n">
        <v>199</v>
      </c>
      <c r="D9" s="27" t="n">
        <v>1810514924</v>
      </c>
      <c r="E9" s="27" t="n">
        <v>1408698780</v>
      </c>
      <c r="F9" s="27" t="s">
        <v>516</v>
      </c>
      <c r="G9" s="13"/>
      <c r="H9" s="13"/>
      <c r="I9" s="13"/>
    </row>
    <row r="10" customFormat="false" ht="15.75" hidden="false" customHeight="false" outlineLevel="0" collapsed="false">
      <c r="A10" s="43" t="n">
        <v>7</v>
      </c>
      <c r="B10" s="48" t="s">
        <v>517</v>
      </c>
      <c r="C10" s="27" t="n">
        <v>198</v>
      </c>
      <c r="D10" s="27" t="n">
        <v>1772847587</v>
      </c>
      <c r="E10" s="27" t="n">
        <v>1761741406</v>
      </c>
      <c r="F10" s="27" t="s">
        <v>518</v>
      </c>
      <c r="G10" s="11"/>
      <c r="H10" s="11"/>
      <c r="I10" s="11"/>
    </row>
    <row r="11" customFormat="false" ht="15.75" hidden="false" customHeight="false" outlineLevel="0" collapsed="false">
      <c r="A11" s="43" t="n">
        <v>8</v>
      </c>
      <c r="B11" s="48" t="s">
        <v>519</v>
      </c>
      <c r="C11" s="27" t="n">
        <v>226</v>
      </c>
      <c r="D11" s="27" t="n">
        <v>1893797917</v>
      </c>
      <c r="E11" s="27" t="n">
        <v>1793797917</v>
      </c>
      <c r="F11" s="45" t="n">
        <v>37623</v>
      </c>
      <c r="G11" s="13"/>
      <c r="H11" s="13"/>
      <c r="I11" s="13"/>
    </row>
    <row r="12" customFormat="false" ht="15.75" hidden="false" customHeight="false" outlineLevel="0" collapsed="false">
      <c r="A12" s="47"/>
      <c r="B12" s="14"/>
      <c r="C12" s="14"/>
      <c r="D12" s="14"/>
      <c r="E12" s="14"/>
      <c r="F12" s="14"/>
      <c r="G12" s="11"/>
      <c r="H12" s="11"/>
      <c r="I12" s="11"/>
    </row>
    <row r="13" customFormat="false" ht="15.75" hidden="false" customHeight="false" outlineLevel="0" collapsed="false">
      <c r="A13" s="50"/>
      <c r="B13" s="13"/>
      <c r="C13" s="13"/>
      <c r="D13" s="13"/>
      <c r="E13" s="13"/>
      <c r="F13" s="13"/>
      <c r="G13" s="13"/>
      <c r="H13" s="13"/>
      <c r="I13" s="13"/>
    </row>
    <row r="14" customFormat="false" ht="15.75" hidden="false" customHeight="false" outlineLevel="0" collapsed="false"/>
    <row r="15" customFormat="false" ht="15.75" hidden="false" customHeight="false" outlineLevel="0" collapsed="false"/>
  </sheetData>
  <mergeCells count="3">
    <mergeCell ref="A1:I1"/>
    <mergeCell ref="A2:E2"/>
    <mergeCell ref="F2:I2"/>
  </mergeCells>
  <dataValidations count="1">
    <dataValidation allowBlank="true" errorStyle="stop" operator="between" showDropDown="true" showErrorMessage="false" showInputMessage="false" sqref="A12:A13" type="custom">
      <formula1>OR(NOT(ISERROR(DATEVALUE(A12))), AND(ISNUMBER(A12), LEFT(CELL("format", A12))="D"))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9.13"/>
    <col collapsed="false" customWidth="true" hidden="false" outlineLevel="0" max="4" min="4" style="0" width="19.25"/>
    <col collapsed="false" customWidth="true" hidden="false" outlineLevel="0" max="5" min="5" style="0" width="26.75"/>
    <col collapsed="false" customWidth="true" hidden="false" outlineLevel="0" max="6" min="6" style="0" width="23.5"/>
    <col collapsed="false" customWidth="true" hidden="false" outlineLevel="0" max="7" min="7" style="0" width="20"/>
    <col collapsed="false" customWidth="true" hidden="false" outlineLevel="0" max="8" min="8" style="0" width="20.25"/>
    <col collapsed="false" customWidth="true" hidden="false" outlineLevel="0" max="9" min="9" style="0" width="26.25"/>
    <col collapsed="false" customWidth="true" hidden="false" outlineLevel="0" max="13" min="13" style="0" width="13.5"/>
    <col collapsed="false" customWidth="true" hidden="false" outlineLevel="0" max="14" min="14" style="0" width="14.13"/>
  </cols>
  <sheetData>
    <row r="1" customFormat="false" ht="25.35" hidden="false" customHeight="false" outlineLevel="0" collapsed="false">
      <c r="A1" s="37" t="s">
        <v>520</v>
      </c>
      <c r="B1" s="37"/>
      <c r="C1" s="37"/>
      <c r="D1" s="37"/>
      <c r="E1" s="37"/>
      <c r="F1" s="37"/>
      <c r="G1" s="37"/>
      <c r="H1" s="37"/>
      <c r="I1" s="37"/>
      <c r="J1" s="5"/>
    </row>
    <row r="2" customFormat="false" ht="17.35" hidden="false" customHeight="false" outlineLevel="0" collapsed="false">
      <c r="A2" s="6" t="s">
        <v>521</v>
      </c>
      <c r="B2" s="6"/>
      <c r="C2" s="6"/>
      <c r="D2" s="6"/>
      <c r="E2" s="6"/>
      <c r="F2" s="6" t="s">
        <v>306</v>
      </c>
      <c r="G2" s="6"/>
      <c r="H2" s="6"/>
      <c r="I2" s="6"/>
      <c r="J2" s="5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  <c r="J3" s="5"/>
    </row>
    <row r="4" customFormat="false" ht="15.75" hidden="false" customHeight="false" outlineLevel="0" collapsed="false">
      <c r="A4" s="43" t="n">
        <v>1</v>
      </c>
      <c r="B4" s="27" t="s">
        <v>522</v>
      </c>
      <c r="C4" s="27" t="n">
        <v>25103</v>
      </c>
      <c r="D4" s="27" t="s">
        <v>523</v>
      </c>
      <c r="E4" s="27" t="s">
        <v>524</v>
      </c>
      <c r="F4" s="45" t="n">
        <v>31783</v>
      </c>
      <c r="G4" s="11"/>
      <c r="H4" s="11"/>
      <c r="I4" s="11"/>
      <c r="J4" s="5"/>
    </row>
    <row r="5" customFormat="false" ht="15.75" hidden="false" customHeight="false" outlineLevel="0" collapsed="false">
      <c r="A5" s="43" t="n">
        <v>2</v>
      </c>
      <c r="B5" s="27" t="s">
        <v>525</v>
      </c>
      <c r="C5" s="27" t="n">
        <v>25106</v>
      </c>
      <c r="D5" s="27" t="s">
        <v>526</v>
      </c>
      <c r="E5" s="27" t="s">
        <v>527</v>
      </c>
      <c r="F5" s="45" t="n">
        <v>35704</v>
      </c>
      <c r="G5" s="13"/>
      <c r="H5" s="13"/>
      <c r="I5" s="13"/>
      <c r="J5" s="5"/>
    </row>
    <row r="6" customFormat="false" ht="15.75" hidden="false" customHeight="false" outlineLevel="0" collapsed="false">
      <c r="A6" s="43" t="n">
        <v>3</v>
      </c>
      <c r="B6" s="27" t="s">
        <v>106</v>
      </c>
      <c r="C6" s="27" t="n">
        <v>25113</v>
      </c>
      <c r="D6" s="27" t="s">
        <v>107</v>
      </c>
      <c r="E6" s="27" t="s">
        <v>528</v>
      </c>
      <c r="F6" s="27" t="s">
        <v>529</v>
      </c>
      <c r="G6" s="11"/>
      <c r="H6" s="11"/>
      <c r="I6" s="11"/>
      <c r="J6" s="5"/>
    </row>
    <row r="7" customFormat="false" ht="15.75" hidden="false" customHeight="false" outlineLevel="0" collapsed="false">
      <c r="A7" s="43" t="n">
        <v>4</v>
      </c>
      <c r="B7" s="20" t="s">
        <v>108</v>
      </c>
      <c r="C7" s="27" t="n">
        <v>25114</v>
      </c>
      <c r="D7" s="27" t="s">
        <v>530</v>
      </c>
      <c r="E7" s="27" t="s">
        <v>531</v>
      </c>
      <c r="F7" s="27" t="s">
        <v>532</v>
      </c>
      <c r="G7" s="13"/>
      <c r="H7" s="13"/>
      <c r="I7" s="13"/>
      <c r="J7" s="5"/>
    </row>
    <row r="8" customFormat="false" ht="15.75" hidden="false" customHeight="false" outlineLevel="0" collapsed="false">
      <c r="A8" s="43" t="n">
        <v>5</v>
      </c>
      <c r="B8" s="20" t="s">
        <v>110</v>
      </c>
      <c r="C8" s="27" t="n">
        <v>25115</v>
      </c>
      <c r="D8" s="27" t="s">
        <v>111</v>
      </c>
      <c r="E8" s="27" t="s">
        <v>533</v>
      </c>
      <c r="F8" s="27" t="s">
        <v>401</v>
      </c>
      <c r="G8" s="11"/>
      <c r="H8" s="11"/>
      <c r="I8" s="11"/>
      <c r="J8" s="11"/>
    </row>
    <row r="9" customFormat="false" ht="15.75" hidden="false" customHeight="false" outlineLevel="0" collapsed="false">
      <c r="A9" s="43" t="n">
        <v>6</v>
      </c>
      <c r="B9" s="20" t="s">
        <v>64</v>
      </c>
      <c r="C9" s="27" t="n">
        <v>143</v>
      </c>
      <c r="D9" s="27" t="s">
        <v>65</v>
      </c>
      <c r="E9" s="27" t="s">
        <v>534</v>
      </c>
      <c r="F9" s="27" t="s">
        <v>535</v>
      </c>
      <c r="G9" s="13"/>
      <c r="H9" s="13"/>
      <c r="I9" s="13"/>
      <c r="J9" s="5"/>
    </row>
    <row r="10" customFormat="false" ht="15.75" hidden="false" customHeight="false" outlineLevel="0" collapsed="false">
      <c r="A10" s="43" t="n">
        <v>7</v>
      </c>
      <c r="B10" s="20" t="s">
        <v>122</v>
      </c>
      <c r="C10" s="27" t="n">
        <v>25140</v>
      </c>
      <c r="D10" s="27" t="s">
        <v>123</v>
      </c>
      <c r="E10" s="27" t="s">
        <v>536</v>
      </c>
      <c r="F10" s="45" t="n">
        <v>38931</v>
      </c>
      <c r="G10" s="11"/>
      <c r="H10" s="11"/>
      <c r="I10" s="11"/>
      <c r="J10" s="5"/>
    </row>
    <row r="11" customFormat="false" ht="15.75" hidden="false" customHeight="false" outlineLevel="0" collapsed="false">
      <c r="A11" s="43" t="n">
        <v>8</v>
      </c>
      <c r="B11" s="20" t="s">
        <v>128</v>
      </c>
      <c r="C11" s="27"/>
      <c r="D11" s="27" t="s">
        <v>129</v>
      </c>
      <c r="E11" s="27" t="s">
        <v>537</v>
      </c>
      <c r="F11" s="27" t="s">
        <v>538</v>
      </c>
      <c r="G11" s="13"/>
      <c r="H11" s="13"/>
      <c r="I11" s="13"/>
      <c r="J11" s="5"/>
    </row>
    <row r="12" customFormat="false" ht="15.75" hidden="false" customHeight="false" outlineLevel="0" collapsed="false">
      <c r="A12" s="43" t="n">
        <v>9</v>
      </c>
      <c r="B12" s="20" t="s">
        <v>539</v>
      </c>
      <c r="C12" s="27" t="n">
        <v>25116</v>
      </c>
      <c r="D12" s="27" t="s">
        <v>540</v>
      </c>
      <c r="E12" s="27" t="s">
        <v>541</v>
      </c>
      <c r="F12" s="27" t="s">
        <v>542</v>
      </c>
      <c r="G12" s="11"/>
      <c r="H12" s="11"/>
      <c r="I12" s="11"/>
      <c r="J12" s="5"/>
    </row>
    <row r="13" customFormat="false" ht="15.75" hidden="false" customHeight="false" outlineLevel="0" collapsed="false">
      <c r="A13" s="43" t="n">
        <v>10</v>
      </c>
      <c r="B13" s="20" t="s">
        <v>231</v>
      </c>
      <c r="C13" s="20" t="n">
        <v>25155</v>
      </c>
      <c r="D13" s="20" t="s">
        <v>133</v>
      </c>
      <c r="E13" s="20"/>
      <c r="F13" s="20" t="s">
        <v>543</v>
      </c>
      <c r="G13" s="13"/>
      <c r="H13" s="13"/>
      <c r="I13" s="13"/>
      <c r="J13" s="5"/>
    </row>
    <row r="14" customFormat="false" ht="15.75" hidden="false" customHeight="false" outlineLevel="0" collapsed="false">
      <c r="A14" s="43" t="n">
        <v>11</v>
      </c>
      <c r="B14" s="20" t="s">
        <v>114</v>
      </c>
      <c r="C14" s="27" t="n">
        <v>25130</v>
      </c>
      <c r="D14" s="27" t="s">
        <v>115</v>
      </c>
      <c r="E14" s="27"/>
      <c r="F14" s="27" t="s">
        <v>544</v>
      </c>
      <c r="G14" s="11"/>
      <c r="H14" s="11"/>
      <c r="I14" s="11"/>
      <c r="J14" s="5"/>
    </row>
    <row r="15" customFormat="false" ht="15.75" hidden="false" customHeight="false" outlineLevel="0" collapsed="false">
      <c r="A15" s="43" t="n">
        <v>12</v>
      </c>
      <c r="B15" s="27" t="s">
        <v>92</v>
      </c>
      <c r="C15" s="27" t="n">
        <v>211</v>
      </c>
      <c r="D15" s="27" t="s">
        <v>93</v>
      </c>
      <c r="E15" s="27" t="s">
        <v>545</v>
      </c>
      <c r="F15" s="27" t="s">
        <v>512</v>
      </c>
      <c r="G15" s="13"/>
      <c r="H15" s="13"/>
      <c r="I15" s="13"/>
      <c r="J15" s="5"/>
    </row>
    <row r="16" customFormat="false" ht="15.75" hidden="false" customHeight="false" outlineLevel="0" collapsed="false">
      <c r="A16" s="43" t="n">
        <v>13</v>
      </c>
      <c r="B16" s="12" t="s">
        <v>70</v>
      </c>
      <c r="C16" s="12" t="n">
        <v>173</v>
      </c>
      <c r="D16" s="12" t="s">
        <v>311</v>
      </c>
      <c r="E16" s="12" t="s">
        <v>71</v>
      </c>
      <c r="F16" s="12" t="s">
        <v>312</v>
      </c>
      <c r="G16" s="11"/>
      <c r="H16" s="11"/>
      <c r="I16" s="11"/>
      <c r="J16" s="5"/>
    </row>
    <row r="17" customFormat="false" ht="15.75" hidden="false" customHeight="false" outlineLevel="0" collapsed="false">
      <c r="A17" s="43" t="n">
        <v>14</v>
      </c>
      <c r="B17" s="27" t="s">
        <v>546</v>
      </c>
      <c r="C17" s="27"/>
      <c r="D17" s="27"/>
      <c r="E17" s="27"/>
      <c r="F17" s="27"/>
      <c r="G17" s="13"/>
      <c r="H17" s="13"/>
      <c r="I17" s="13"/>
      <c r="J17" s="5"/>
    </row>
    <row r="18" customFormat="false" ht="15.75" hidden="false" customHeight="false" outlineLevel="0" collapsed="false">
      <c r="A18" s="43" t="n">
        <v>15</v>
      </c>
      <c r="B18" s="27" t="s">
        <v>547</v>
      </c>
      <c r="C18" s="27"/>
      <c r="D18" s="27"/>
      <c r="E18" s="27"/>
      <c r="F18" s="45"/>
      <c r="G18" s="11"/>
      <c r="H18" s="11"/>
      <c r="I18" s="11"/>
      <c r="J18" s="5"/>
    </row>
    <row r="19" customFormat="false" ht="15.75" hidden="false" customHeight="false" outlineLevel="0" collapsed="false">
      <c r="A19" s="43" t="n">
        <v>16</v>
      </c>
      <c r="B19" s="27" t="s">
        <v>548</v>
      </c>
      <c r="C19" s="27" t="n">
        <v>25110</v>
      </c>
      <c r="D19" s="27" t="s">
        <v>549</v>
      </c>
      <c r="E19" s="27" t="s">
        <v>550</v>
      </c>
      <c r="F19" s="45" t="n">
        <v>37932</v>
      </c>
      <c r="G19" s="13"/>
      <c r="H19" s="13"/>
      <c r="I19" s="13"/>
      <c r="J19" s="5"/>
    </row>
    <row r="20" customFormat="false" ht="15.75" hidden="false" customHeight="false" outlineLevel="0" collapsed="false">
      <c r="A20" s="43" t="n">
        <v>17</v>
      </c>
      <c r="B20" s="27" t="s">
        <v>551</v>
      </c>
      <c r="G20" s="13"/>
      <c r="H20" s="13"/>
      <c r="I20" s="13"/>
      <c r="J20" s="5"/>
    </row>
    <row r="21" customFormat="false" ht="15.75" hidden="false" customHeight="false" outlineLevel="0" collapsed="false">
      <c r="A21" s="43" t="n">
        <v>18</v>
      </c>
      <c r="B21" s="27" t="s">
        <v>552</v>
      </c>
      <c r="G21" s="13"/>
      <c r="H21" s="13"/>
      <c r="I21" s="13"/>
    </row>
    <row r="22" customFormat="false" ht="15.75" hidden="false" customHeight="false" outlineLevel="0" collapsed="false">
      <c r="A22" s="43" t="n">
        <v>19</v>
      </c>
      <c r="B22" s="27" t="s">
        <v>553</v>
      </c>
      <c r="C22" s="27" t="n">
        <v>25104</v>
      </c>
      <c r="D22" s="27" t="s">
        <v>554</v>
      </c>
      <c r="E22" s="27" t="s">
        <v>555</v>
      </c>
      <c r="F22" s="45" t="n">
        <v>36652</v>
      </c>
      <c r="G22" s="13"/>
      <c r="H22" s="13"/>
      <c r="I22" s="13"/>
    </row>
    <row r="23" customFormat="false" ht="15.75" hidden="false" customHeight="false" outlineLevel="0" collapsed="false">
      <c r="A23" s="43" t="n">
        <v>20</v>
      </c>
      <c r="B23" s="27" t="s">
        <v>556</v>
      </c>
      <c r="C23" s="27" t="n">
        <v>25105</v>
      </c>
      <c r="D23" s="27" t="s">
        <v>557</v>
      </c>
      <c r="E23" s="27" t="s">
        <v>558</v>
      </c>
      <c r="F23" s="45" t="n">
        <v>29439</v>
      </c>
      <c r="G23" s="13"/>
      <c r="H23" s="13"/>
      <c r="I23" s="13"/>
    </row>
    <row r="24" customFormat="false" ht="15.75" hidden="false" customHeight="false" outlineLevel="0" collapsed="false">
      <c r="A24" s="43" t="n">
        <v>21</v>
      </c>
      <c r="B24" s="27" t="s">
        <v>559</v>
      </c>
      <c r="C24" s="27" t="n">
        <v>25107</v>
      </c>
      <c r="D24" s="27" t="s">
        <v>560</v>
      </c>
      <c r="E24" s="27"/>
      <c r="F24" s="45" t="n">
        <v>35708</v>
      </c>
      <c r="G24" s="13"/>
      <c r="H24" s="13"/>
      <c r="I24" s="13"/>
    </row>
    <row r="25" customFormat="false" ht="15.75" hidden="false" customHeight="false" outlineLevel="0" collapsed="false">
      <c r="A25" s="43" t="n">
        <v>22</v>
      </c>
      <c r="B25" s="27" t="s">
        <v>105</v>
      </c>
      <c r="C25" s="27" t="n">
        <v>25112</v>
      </c>
      <c r="D25" s="27"/>
      <c r="E25" s="27" t="s">
        <v>561</v>
      </c>
      <c r="F25" s="27" t="s">
        <v>562</v>
      </c>
      <c r="G25" s="13"/>
      <c r="H25" s="13"/>
      <c r="I25" s="13"/>
    </row>
    <row r="26" customFormat="false" ht="15.75" hidden="false" customHeight="false" outlineLevel="0" collapsed="false">
      <c r="A26" s="43" t="n">
        <v>23</v>
      </c>
      <c r="B26" s="20" t="s">
        <v>120</v>
      </c>
      <c r="C26" s="20" t="n">
        <v>25139</v>
      </c>
      <c r="D26" s="27" t="s">
        <v>121</v>
      </c>
      <c r="E26" s="27" t="s">
        <v>563</v>
      </c>
      <c r="F26" s="27" t="s">
        <v>564</v>
      </c>
      <c r="G26" s="13"/>
      <c r="H26" s="13"/>
      <c r="I26" s="13"/>
    </row>
    <row r="27" customFormat="false" ht="15.75" hidden="false" customHeight="false" outlineLevel="0" collapsed="false">
      <c r="A27" s="43" t="n">
        <v>24</v>
      </c>
      <c r="B27" s="27" t="s">
        <v>565</v>
      </c>
      <c r="C27" s="27" t="n">
        <v>25108</v>
      </c>
      <c r="D27" s="27" t="s">
        <v>566</v>
      </c>
      <c r="E27" s="27" t="s">
        <v>567</v>
      </c>
      <c r="F27" s="45" t="n">
        <v>39302</v>
      </c>
      <c r="G27" s="13"/>
      <c r="H27" s="13"/>
      <c r="I27" s="13"/>
    </row>
    <row r="28" customFormat="false" ht="15.75" hidden="false" customHeight="false" outlineLevel="0" collapsed="false">
      <c r="A28" s="43" t="n">
        <v>25</v>
      </c>
      <c r="B28" s="27" t="s">
        <v>568</v>
      </c>
      <c r="C28" s="27" t="n">
        <v>25101</v>
      </c>
      <c r="D28" s="27" t="s">
        <v>569</v>
      </c>
      <c r="E28" s="27" t="s">
        <v>570</v>
      </c>
      <c r="F28" s="27" t="s">
        <v>571</v>
      </c>
      <c r="G28" s="13"/>
      <c r="H28" s="13"/>
      <c r="I28" s="13"/>
    </row>
    <row r="29" customFormat="false" ht="15.75" hidden="false" customHeight="false" outlineLevel="0" collapsed="false">
      <c r="A29" s="43" t="n">
        <v>26</v>
      </c>
      <c r="B29" s="27" t="s">
        <v>572</v>
      </c>
      <c r="C29" s="27" t="n">
        <v>25102</v>
      </c>
      <c r="D29" s="27" t="s">
        <v>573</v>
      </c>
      <c r="E29" s="27" t="s">
        <v>574</v>
      </c>
      <c r="F29" s="45" t="n">
        <v>38693</v>
      </c>
      <c r="G29" s="13"/>
      <c r="H29" s="13"/>
      <c r="I29" s="13"/>
    </row>
    <row r="30" customFormat="false" ht="15.75" hidden="false" customHeight="false" outlineLevel="0" collapsed="false">
      <c r="A30" s="43"/>
      <c r="B30" s="27"/>
      <c r="C30" s="27"/>
      <c r="D30" s="27"/>
      <c r="E30" s="27"/>
      <c r="F30" s="45"/>
      <c r="G30" s="13"/>
      <c r="H30" s="13"/>
      <c r="I30" s="13"/>
    </row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4.13"/>
    <col collapsed="false" customWidth="true" hidden="false" outlineLevel="0" max="3" min="3" style="0" width="18.25"/>
    <col collapsed="false" customWidth="true" hidden="false" outlineLevel="0" max="4" min="4" style="0" width="25"/>
    <col collapsed="false" customWidth="true" hidden="false" outlineLevel="0" max="5" min="5" style="0" width="23.5"/>
    <col collapsed="false" customWidth="true" hidden="false" outlineLevel="0" max="6" min="6" style="0" width="17.88"/>
    <col collapsed="false" customWidth="true" hidden="false" outlineLevel="0" max="9" min="7" style="0" width="24.75"/>
  </cols>
  <sheetData>
    <row r="1" customFormat="false" ht="25.35" hidden="false" customHeight="false" outlineLevel="0" collapsed="false">
      <c r="A1" s="37" t="s">
        <v>575</v>
      </c>
      <c r="B1" s="37"/>
      <c r="C1" s="37"/>
      <c r="D1" s="37"/>
      <c r="E1" s="37"/>
      <c r="F1" s="37"/>
      <c r="G1" s="37"/>
      <c r="H1" s="37"/>
      <c r="I1" s="3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17.35" hidden="false" customHeight="false" outlineLevel="0" collapsed="false">
      <c r="A2" s="6" t="s">
        <v>576</v>
      </c>
      <c r="B2" s="6"/>
      <c r="C2" s="6"/>
      <c r="D2" s="6"/>
      <c r="E2" s="6"/>
      <c r="F2" s="6" t="s">
        <v>306</v>
      </c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577</v>
      </c>
      <c r="H3" s="9" t="s">
        <v>52</v>
      </c>
      <c r="I3" s="8" t="s">
        <v>53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5.75" hidden="false" customHeight="false" outlineLevel="0" collapsed="false">
      <c r="A4" s="43" t="n">
        <v>1</v>
      </c>
      <c r="B4" s="14" t="s">
        <v>578</v>
      </c>
      <c r="C4" s="14" t="n">
        <v>25127</v>
      </c>
      <c r="D4" s="14" t="s">
        <v>579</v>
      </c>
      <c r="E4" s="14" t="s">
        <v>580</v>
      </c>
      <c r="F4" s="51" t="n">
        <v>38474</v>
      </c>
      <c r="G4" s="14"/>
      <c r="H4" s="14"/>
      <c r="I4" s="14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customFormat="false" ht="15.75" hidden="false" customHeight="false" outlineLevel="0" collapsed="false">
      <c r="A5" s="43" t="n">
        <v>2</v>
      </c>
      <c r="B5" s="12" t="s">
        <v>581</v>
      </c>
      <c r="C5" s="12" t="n">
        <v>25129</v>
      </c>
      <c r="D5" s="12" t="s">
        <v>582</v>
      </c>
      <c r="E5" s="12" t="s">
        <v>583</v>
      </c>
      <c r="F5" s="51" t="n">
        <v>403382</v>
      </c>
      <c r="G5" s="12" t="s">
        <v>584</v>
      </c>
      <c r="H5" s="12"/>
      <c r="I5" s="12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customFormat="false" ht="15.75" hidden="false" customHeight="false" outlineLevel="0" collapsed="false">
      <c r="A6" s="43" t="n">
        <v>3</v>
      </c>
      <c r="B6" s="14" t="s">
        <v>585</v>
      </c>
      <c r="C6" s="14" t="n">
        <v>25131</v>
      </c>
      <c r="D6" s="14" t="s">
        <v>117</v>
      </c>
      <c r="E6" s="14" t="s">
        <v>117</v>
      </c>
      <c r="F6" s="51" t="s">
        <v>586</v>
      </c>
      <c r="G6" s="14" t="s">
        <v>587</v>
      </c>
      <c r="H6" s="14"/>
      <c r="I6" s="14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customFormat="false" ht="15.75" hidden="false" customHeight="false" outlineLevel="0" collapsed="false">
      <c r="A7" s="43" t="n">
        <v>4</v>
      </c>
      <c r="B7" s="12" t="s">
        <v>588</v>
      </c>
      <c r="C7" s="12" t="n">
        <v>25132</v>
      </c>
      <c r="D7" s="12" t="s">
        <v>589</v>
      </c>
      <c r="E7" s="12"/>
      <c r="F7" s="51" t="s">
        <v>590</v>
      </c>
      <c r="G7" s="14" t="s">
        <v>587</v>
      </c>
      <c r="H7" s="12"/>
      <c r="I7" s="12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customFormat="false" ht="15.75" hidden="false" customHeight="false" outlineLevel="0" collapsed="false">
      <c r="A8" s="43" t="n">
        <v>5</v>
      </c>
      <c r="B8" s="14" t="s">
        <v>591</v>
      </c>
      <c r="C8" s="14" t="n">
        <v>25133</v>
      </c>
      <c r="D8" s="14" t="s">
        <v>592</v>
      </c>
      <c r="E8" s="14"/>
      <c r="F8" s="51" t="n">
        <v>35859</v>
      </c>
      <c r="G8" s="14" t="s">
        <v>587</v>
      </c>
      <c r="H8" s="14"/>
      <c r="I8" s="14"/>
      <c r="J8" s="1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customFormat="false" ht="15.75" hidden="false" customHeight="false" outlineLevel="0" collapsed="false">
      <c r="A9" s="43" t="n">
        <v>6</v>
      </c>
      <c r="B9" s="12" t="s">
        <v>593</v>
      </c>
      <c r="C9" s="12" t="n">
        <v>25134</v>
      </c>
      <c r="D9" s="12" t="s">
        <v>594</v>
      </c>
      <c r="E9" s="12" t="s">
        <v>594</v>
      </c>
      <c r="F9" s="51" t="s">
        <v>595</v>
      </c>
      <c r="G9" s="14" t="s">
        <v>587</v>
      </c>
      <c r="H9" s="12"/>
      <c r="I9" s="12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customFormat="false" ht="15.75" hidden="false" customHeight="false" outlineLevel="0" collapsed="false">
      <c r="A10" s="43" t="n">
        <v>7</v>
      </c>
      <c r="B10" s="14" t="s">
        <v>596</v>
      </c>
      <c r="C10" s="14" t="n">
        <v>25138</v>
      </c>
      <c r="D10" s="14" t="s">
        <v>597</v>
      </c>
      <c r="E10" s="14"/>
      <c r="F10" s="51"/>
      <c r="G10" s="14"/>
      <c r="H10" s="14"/>
      <c r="I10" s="14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customFormat="false" ht="15.75" hidden="false" customHeight="false" outlineLevel="0" collapsed="false">
      <c r="A11" s="43" t="n">
        <v>8</v>
      </c>
      <c r="B11" s="12" t="s">
        <v>598</v>
      </c>
      <c r="C11" s="12" t="n">
        <v>217</v>
      </c>
      <c r="D11" s="12" t="s">
        <v>599</v>
      </c>
      <c r="E11" s="12" t="s">
        <v>600</v>
      </c>
      <c r="F11" s="51" t="s">
        <v>601</v>
      </c>
      <c r="G11" s="12"/>
      <c r="H11" s="12"/>
      <c r="I11" s="1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customFormat="false" ht="15.75" hidden="false" customHeight="false" outlineLevel="0" collapsed="false">
      <c r="A12" s="43" t="n">
        <v>9</v>
      </c>
      <c r="B12" s="14" t="s">
        <v>602</v>
      </c>
      <c r="C12" s="14" t="n">
        <v>25141</v>
      </c>
      <c r="D12" s="14" t="s">
        <v>603</v>
      </c>
      <c r="E12" s="14"/>
      <c r="F12" s="51" t="n">
        <v>33271</v>
      </c>
      <c r="G12" s="12" t="s">
        <v>584</v>
      </c>
      <c r="H12" s="14"/>
      <c r="I12" s="14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customFormat="false" ht="15.75" hidden="false" customHeight="false" outlineLevel="0" collapsed="false">
      <c r="A13" s="43" t="n">
        <v>10</v>
      </c>
      <c r="B13" s="12" t="s">
        <v>604</v>
      </c>
      <c r="C13" s="12" t="n">
        <v>25150</v>
      </c>
      <c r="D13" s="12" t="s">
        <v>605</v>
      </c>
      <c r="E13" s="12"/>
      <c r="F13" s="51" t="s">
        <v>606</v>
      </c>
      <c r="G13" s="14" t="s">
        <v>587</v>
      </c>
      <c r="H13" s="12"/>
      <c r="I13" s="1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customFormat="false" ht="15.75" hidden="false" customHeight="false" outlineLevel="0" collapsed="false">
      <c r="A14" s="43" t="n">
        <v>11</v>
      </c>
      <c r="B14" s="12" t="s">
        <v>607</v>
      </c>
      <c r="C14" s="12" t="n">
        <v>25194</v>
      </c>
      <c r="D14" s="12" t="s">
        <v>167</v>
      </c>
      <c r="E14" s="12" t="s">
        <v>608</v>
      </c>
      <c r="F14" s="51" t="n">
        <v>37016</v>
      </c>
      <c r="G14" s="12" t="s">
        <v>584</v>
      </c>
      <c r="H14" s="12"/>
      <c r="I14" s="1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customFormat="false" ht="15.75" hidden="false" customHeight="false" outlineLevel="0" collapsed="false">
      <c r="A15" s="43" t="n">
        <v>12</v>
      </c>
      <c r="B15" s="14" t="s">
        <v>609</v>
      </c>
      <c r="C15" s="14" t="n">
        <v>25160</v>
      </c>
      <c r="D15" s="14" t="s">
        <v>610</v>
      </c>
      <c r="E15" s="14" t="s">
        <v>611</v>
      </c>
      <c r="F15" s="51" t="n">
        <v>37912</v>
      </c>
      <c r="G15" s="14"/>
      <c r="H15" s="14"/>
      <c r="I15" s="14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customFormat="false" ht="15.75" hidden="false" customHeight="false" outlineLevel="0" collapsed="false">
      <c r="A16" s="43" t="n">
        <v>13</v>
      </c>
      <c r="B16" s="27" t="s">
        <v>612</v>
      </c>
      <c r="C16" s="27" t="n">
        <v>25177</v>
      </c>
      <c r="D16" s="27" t="s">
        <v>613</v>
      </c>
      <c r="F16" s="51"/>
      <c r="G16" s="14" t="s">
        <v>587</v>
      </c>
    </row>
    <row r="17" customFormat="false" ht="15.75" hidden="false" customHeight="false" outlineLevel="0" collapsed="false">
      <c r="A17" s="43" t="n">
        <v>14</v>
      </c>
      <c r="B17" s="12" t="s">
        <v>614</v>
      </c>
      <c r="C17" s="12" t="n">
        <v>25185</v>
      </c>
      <c r="D17" s="12" t="s">
        <v>615</v>
      </c>
      <c r="E17" s="13" t="s">
        <v>616</v>
      </c>
      <c r="F17" s="51" t="n">
        <v>36525</v>
      </c>
      <c r="G17" s="13" t="s">
        <v>617</v>
      </c>
      <c r="H17" s="13"/>
      <c r="I17" s="1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customFormat="false" ht="15.75" hidden="false" customHeight="false" outlineLevel="0" collapsed="false">
      <c r="A18" s="52"/>
      <c r="B18" s="11"/>
      <c r="C18" s="11"/>
      <c r="D18" s="11"/>
      <c r="E18" s="11"/>
      <c r="F18" s="53"/>
      <c r="G18" s="11"/>
      <c r="H18" s="11"/>
      <c r="I18" s="1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customFormat="false" ht="15.75" hidden="false" customHeight="false" outlineLevel="0" collapsed="false">
      <c r="A19" s="50"/>
      <c r="B19" s="13"/>
      <c r="C19" s="13"/>
      <c r="D19" s="13"/>
      <c r="E19" s="13"/>
      <c r="F19" s="54"/>
      <c r="G19" s="13"/>
      <c r="H19" s="13"/>
      <c r="I19" s="1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customFormat="false" ht="15.75" hidden="false" customHeight="false" outlineLevel="0" collapsed="false">
      <c r="A20" s="52"/>
      <c r="B20" s="11"/>
      <c r="C20" s="11"/>
      <c r="D20" s="11"/>
      <c r="E20" s="11"/>
      <c r="F20" s="53"/>
      <c r="G20" s="11"/>
      <c r="H20" s="11"/>
      <c r="I20" s="1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customFormat="false" ht="15.7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 t="s">
        <v>56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customFormat="false" ht="15.7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customFormat="false" ht="15.7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customFormat="false" ht="15.75" hidden="false" customHeight="false" outlineLevel="0" collapsed="false"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</sheetData>
  <mergeCells count="3">
    <mergeCell ref="A1:I1"/>
    <mergeCell ref="A2:E2"/>
    <mergeCell ref="F2:I2"/>
  </mergeCells>
  <dataValidations count="1">
    <dataValidation allowBlank="true" errorStyle="stop" operator="between" showDropDown="true" showErrorMessage="false" showInputMessage="false" sqref="A18:A20" type="custom">
      <formula1>OR(NOT(ISERROR(DATEVALUE(A18))), AND(ISNUMBER(A18), LEFT(CELL("format", A18))="D"))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0.25"/>
    <col collapsed="false" customWidth="true" hidden="false" outlineLevel="0" max="4" min="4" style="0" width="21.38"/>
    <col collapsed="false" customWidth="true" hidden="false" outlineLevel="0" max="5" min="5" style="0" width="21"/>
    <col collapsed="false" customWidth="true" hidden="false" outlineLevel="0" max="6" min="6" style="0" width="21.5"/>
    <col collapsed="false" customWidth="true" hidden="false" outlineLevel="0" max="7" min="7" style="0" width="18.38"/>
    <col collapsed="false" customWidth="true" hidden="false" outlineLevel="0" max="8" min="8" style="0" width="22"/>
  </cols>
  <sheetData>
    <row r="1" customFormat="false" ht="25.35" hidden="false" customHeight="false" outlineLevel="0" collapsed="false">
      <c r="A1" s="37" t="s">
        <v>618</v>
      </c>
      <c r="B1" s="37"/>
      <c r="C1" s="37"/>
      <c r="D1" s="37"/>
      <c r="E1" s="37"/>
      <c r="F1" s="37"/>
      <c r="G1" s="37"/>
      <c r="H1" s="37"/>
      <c r="I1" s="37"/>
      <c r="J1" s="5"/>
    </row>
    <row r="2" customFormat="false" ht="17.35" hidden="false" customHeight="false" outlineLevel="0" collapsed="false">
      <c r="A2" s="6" t="s">
        <v>305</v>
      </c>
      <c r="B2" s="6"/>
      <c r="C2" s="6"/>
      <c r="D2" s="6"/>
      <c r="E2" s="6"/>
      <c r="F2" s="6" t="s">
        <v>306</v>
      </c>
      <c r="G2" s="6"/>
      <c r="H2" s="6"/>
      <c r="I2" s="6"/>
      <c r="J2" s="5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51</v>
      </c>
      <c r="H3" s="9" t="s">
        <v>52</v>
      </c>
      <c r="I3" s="8" t="s">
        <v>53</v>
      </c>
      <c r="J3" s="5"/>
    </row>
    <row r="4" customFormat="false" ht="15.75" hidden="false" customHeight="false" outlineLevel="0" collapsed="false">
      <c r="A4" s="43" t="n">
        <v>1</v>
      </c>
      <c r="B4" s="49" t="s">
        <v>619</v>
      </c>
      <c r="C4" s="27" t="n">
        <v>219</v>
      </c>
      <c r="D4" s="55" t="s">
        <v>620</v>
      </c>
      <c r="E4" s="27" t="n">
        <v>1676201013</v>
      </c>
      <c r="F4" s="27" t="s">
        <v>621</v>
      </c>
      <c r="G4" s="11"/>
      <c r="H4" s="11"/>
      <c r="I4" s="11"/>
      <c r="J4" s="5"/>
    </row>
    <row r="5" customFormat="false" ht="15.75" hidden="false" customHeight="false" outlineLevel="0" collapsed="false">
      <c r="A5" s="43" t="n">
        <v>2</v>
      </c>
      <c r="B5" s="49" t="s">
        <v>622</v>
      </c>
      <c r="C5" s="27" t="n">
        <v>218</v>
      </c>
      <c r="D5" s="55" t="s">
        <v>623</v>
      </c>
      <c r="E5" s="27" t="n">
        <v>1767452555</v>
      </c>
      <c r="F5" s="45"/>
      <c r="G5" s="13"/>
      <c r="H5" s="13"/>
      <c r="I5" s="13"/>
      <c r="J5" s="5"/>
    </row>
    <row r="6" customFormat="false" ht="15.75" hidden="false" customHeight="false" outlineLevel="0" collapsed="false">
      <c r="A6" s="43" t="n">
        <v>3</v>
      </c>
      <c r="B6" s="49" t="s">
        <v>624</v>
      </c>
      <c r="C6" s="27" t="n">
        <v>220</v>
      </c>
      <c r="D6" s="55" t="n">
        <v>1639141041</v>
      </c>
      <c r="E6" s="49"/>
      <c r="F6" s="27" t="s">
        <v>625</v>
      </c>
      <c r="G6" s="11"/>
      <c r="H6" s="11"/>
      <c r="I6" s="11"/>
      <c r="J6" s="5"/>
    </row>
    <row r="7" customFormat="false" ht="15.75" hidden="false" customHeight="false" outlineLevel="0" collapsed="false">
      <c r="A7" s="43" t="n">
        <v>4</v>
      </c>
      <c r="B7" s="49" t="s">
        <v>626</v>
      </c>
      <c r="C7" s="27" t="n">
        <v>224</v>
      </c>
      <c r="D7" s="55" t="n">
        <v>1795533444</v>
      </c>
      <c r="E7" s="49"/>
      <c r="F7" s="27" t="s">
        <v>627</v>
      </c>
      <c r="G7" s="13"/>
      <c r="H7" s="13"/>
      <c r="I7" s="13"/>
      <c r="J7" s="5"/>
    </row>
    <row r="8" customFormat="false" ht="15.75" hidden="false" customHeight="false" outlineLevel="0" collapsed="false">
      <c r="A8" s="43" t="n">
        <v>5</v>
      </c>
      <c r="B8" s="49" t="s">
        <v>628</v>
      </c>
      <c r="C8" s="27" t="n">
        <v>221</v>
      </c>
      <c r="D8" s="55" t="n">
        <v>1614935456</v>
      </c>
      <c r="E8" s="27" t="n">
        <v>1765834473</v>
      </c>
      <c r="F8" s="45" t="n">
        <v>39393</v>
      </c>
      <c r="G8" s="11"/>
      <c r="H8" s="11"/>
      <c r="I8" s="11"/>
      <c r="J8" s="11"/>
      <c r="K8" s="49"/>
      <c r="L8" s="49"/>
      <c r="M8" s="49"/>
      <c r="N8" s="49"/>
      <c r="O8" s="49"/>
      <c r="P8" s="49"/>
      <c r="Q8" s="49"/>
      <c r="R8" s="49"/>
      <c r="S8" s="49"/>
      <c r="T8" s="49"/>
    </row>
    <row r="9" customFormat="false" ht="15.75" hidden="false" customHeight="false" outlineLevel="0" collapsed="false">
      <c r="A9" s="43" t="n">
        <v>6</v>
      </c>
      <c r="B9" s="49" t="s">
        <v>629</v>
      </c>
      <c r="C9" s="27" t="n">
        <v>222</v>
      </c>
      <c r="D9" s="55" t="n">
        <v>1906959935</v>
      </c>
      <c r="E9" s="49"/>
      <c r="F9" s="27" t="s">
        <v>630</v>
      </c>
      <c r="G9" s="13"/>
      <c r="H9" s="13"/>
      <c r="I9" s="13"/>
      <c r="J9" s="5"/>
    </row>
    <row r="10" customFormat="false" ht="15.75" hidden="false" customHeight="false" outlineLevel="0" collapsed="false">
      <c r="A10" s="43" t="n">
        <v>7</v>
      </c>
      <c r="B10" s="49" t="s">
        <v>631</v>
      </c>
      <c r="C10" s="27" t="n">
        <v>225</v>
      </c>
      <c r="D10" s="55" t="n">
        <v>1681232525</v>
      </c>
      <c r="E10" s="49"/>
      <c r="F10" s="27" t="s">
        <v>632</v>
      </c>
      <c r="G10" s="11"/>
      <c r="H10" s="11"/>
      <c r="I10" s="11"/>
      <c r="J10" s="5"/>
    </row>
    <row r="11" customFormat="false" ht="15.75" hidden="false" customHeight="false" outlineLevel="0" collapsed="false">
      <c r="A11" s="43" t="n">
        <v>8</v>
      </c>
      <c r="B11" s="49" t="s">
        <v>633</v>
      </c>
      <c r="C11" s="27" t="n">
        <v>235</v>
      </c>
      <c r="D11" s="55" t="s">
        <v>634</v>
      </c>
      <c r="E11" s="49"/>
      <c r="F11" s="27" t="s">
        <v>635</v>
      </c>
      <c r="G11" s="13"/>
      <c r="H11" s="13"/>
      <c r="I11" s="13"/>
      <c r="J11" s="5"/>
    </row>
    <row r="12" customFormat="false" ht="15.75" hidden="false" customHeight="false" outlineLevel="0" collapsed="false">
      <c r="A12" s="43" t="n">
        <v>9</v>
      </c>
      <c r="B12" s="49" t="s">
        <v>636</v>
      </c>
      <c r="C12" s="27" t="n">
        <v>230</v>
      </c>
      <c r="D12" s="55" t="s">
        <v>637</v>
      </c>
      <c r="E12" s="55" t="s">
        <v>638</v>
      </c>
      <c r="F12" s="45" t="n">
        <v>38819</v>
      </c>
      <c r="G12" s="11"/>
      <c r="H12" s="11"/>
      <c r="I12" s="11"/>
      <c r="J12" s="5"/>
    </row>
    <row r="13" customFormat="false" ht="15.75" hidden="false" customHeight="false" outlineLevel="0" collapsed="false">
      <c r="A13" s="43" t="n">
        <v>10</v>
      </c>
      <c r="B13" s="49" t="s">
        <v>639</v>
      </c>
      <c r="C13" s="27" t="n">
        <v>223</v>
      </c>
      <c r="D13" s="55" t="s">
        <v>640</v>
      </c>
      <c r="E13" s="49"/>
      <c r="F13" s="45" t="n">
        <v>36623</v>
      </c>
      <c r="G13" s="13"/>
      <c r="H13" s="13"/>
      <c r="I13" s="13"/>
      <c r="J13" s="5"/>
    </row>
    <row r="14" customFormat="false" ht="15.75" hidden="false" customHeight="false" outlineLevel="0" collapsed="false">
      <c r="A14" s="46"/>
      <c r="B14" s="11"/>
      <c r="C14" s="11"/>
      <c r="D14" s="11"/>
      <c r="E14" s="11"/>
      <c r="F14" s="11"/>
      <c r="G14" s="11"/>
      <c r="H14" s="11"/>
      <c r="I14" s="11"/>
      <c r="J14" s="5"/>
    </row>
    <row r="15" customFormat="false" ht="15.75" hidden="false" customHeight="false" outlineLevel="0" collapsed="false">
      <c r="A15" s="43"/>
      <c r="B15" s="13"/>
      <c r="C15" s="13"/>
      <c r="D15" s="13"/>
      <c r="E15" s="13"/>
      <c r="F15" s="13"/>
      <c r="G15" s="13"/>
      <c r="H15" s="13"/>
      <c r="I15" s="13"/>
      <c r="J15" s="5"/>
    </row>
    <row r="16" customFormat="false" ht="15.75" hidden="false" customHeight="false" outlineLevel="0" collapsed="false">
      <c r="A16" s="47"/>
      <c r="B16" s="11"/>
      <c r="C16" s="11"/>
      <c r="D16" s="11"/>
      <c r="E16" s="11"/>
      <c r="F16" s="11"/>
      <c r="G16" s="11"/>
      <c r="H16" s="11"/>
      <c r="I16" s="11"/>
      <c r="J16" s="5"/>
    </row>
    <row r="17" customFormat="false" ht="15.75" hidden="false" customHeight="false" outlineLevel="0" collapsed="false"/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88"/>
    <col collapsed="false" customWidth="true" hidden="false" outlineLevel="0" max="3" min="3" style="0" width="18"/>
    <col collapsed="false" customWidth="true" hidden="false" outlineLevel="0" max="4" min="4" style="0" width="18.88"/>
    <col collapsed="false" customWidth="true" hidden="false" outlineLevel="0" max="5" min="5" style="0" width="19.88"/>
    <col collapsed="false" customWidth="true" hidden="false" outlineLevel="0" max="6" min="6" style="0" width="20.88"/>
    <col collapsed="false" customWidth="true" hidden="false" outlineLevel="0" max="8" min="7" style="0" width="14.51"/>
    <col collapsed="false" customWidth="true" hidden="false" outlineLevel="0" max="9" min="9" style="0" width="21.88"/>
    <col collapsed="false" customWidth="true" hidden="false" outlineLevel="0" max="10" min="10" style="0" width="14.88"/>
  </cols>
  <sheetData>
    <row r="1" customFormat="false" ht="25.35" hidden="false" customHeight="false" outlineLevel="0" collapsed="false">
      <c r="A1" s="37" t="s">
        <v>641</v>
      </c>
      <c r="B1" s="37"/>
      <c r="C1" s="37"/>
      <c r="D1" s="37"/>
      <c r="E1" s="37"/>
      <c r="F1" s="37"/>
      <c r="G1" s="37"/>
      <c r="H1" s="37"/>
      <c r="I1" s="37"/>
      <c r="J1" s="37"/>
      <c r="K1" s="5"/>
    </row>
    <row r="2" customFormat="false" ht="17.35" hidden="false" customHeight="false" outlineLevel="0" collapsed="false">
      <c r="A2" s="6" t="s">
        <v>642</v>
      </c>
      <c r="B2" s="6"/>
      <c r="C2" s="6"/>
      <c r="D2" s="6"/>
      <c r="E2" s="6"/>
      <c r="F2" s="6" t="s">
        <v>306</v>
      </c>
      <c r="G2" s="6"/>
      <c r="H2" s="6"/>
      <c r="I2" s="6"/>
      <c r="J2" s="6"/>
      <c r="K2" s="5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643</v>
      </c>
      <c r="H3" s="8" t="s">
        <v>51</v>
      </c>
      <c r="I3" s="9" t="s">
        <v>52</v>
      </c>
      <c r="J3" s="8" t="s">
        <v>53</v>
      </c>
      <c r="K3" s="5"/>
    </row>
    <row r="4" customFormat="false" ht="15.75" hidden="false" customHeight="false" outlineLevel="0" collapsed="false">
      <c r="A4" s="43" t="n">
        <v>1</v>
      </c>
      <c r="B4" s="44" t="s">
        <v>644</v>
      </c>
      <c r="C4" s="27" t="n">
        <v>25117</v>
      </c>
      <c r="D4" s="27" t="s">
        <v>645</v>
      </c>
      <c r="E4" s="27" t="s">
        <v>646</v>
      </c>
      <c r="F4" s="27" t="s">
        <v>647</v>
      </c>
      <c r="G4" s="11" t="s">
        <v>584</v>
      </c>
      <c r="H4" s="11"/>
      <c r="I4" s="11"/>
      <c r="J4" s="11"/>
      <c r="K4" s="5"/>
    </row>
    <row r="5" customFormat="false" ht="15.75" hidden="false" customHeight="false" outlineLevel="0" collapsed="false">
      <c r="A5" s="43" t="n">
        <v>2</v>
      </c>
      <c r="B5" s="44" t="s">
        <v>648</v>
      </c>
      <c r="C5" s="27" t="n">
        <v>25118</v>
      </c>
      <c r="D5" s="27" t="s">
        <v>649</v>
      </c>
      <c r="E5" s="27" t="s">
        <v>650</v>
      </c>
      <c r="F5" s="27" t="s">
        <v>651</v>
      </c>
      <c r="G5" s="13" t="s">
        <v>617</v>
      </c>
      <c r="H5" s="13"/>
      <c r="I5" s="13"/>
      <c r="J5" s="13"/>
      <c r="K5" s="5"/>
    </row>
    <row r="6" customFormat="false" ht="15.75" hidden="false" customHeight="false" outlineLevel="0" collapsed="false">
      <c r="A6" s="43" t="n">
        <v>3</v>
      </c>
      <c r="B6" s="49" t="s">
        <v>636</v>
      </c>
      <c r="C6" s="27" t="n">
        <v>230</v>
      </c>
      <c r="D6" s="27" t="s">
        <v>637</v>
      </c>
      <c r="E6" s="27" t="s">
        <v>638</v>
      </c>
      <c r="F6" s="45" t="n">
        <v>38819</v>
      </c>
      <c r="G6" s="13" t="s">
        <v>617</v>
      </c>
      <c r="H6" s="11"/>
      <c r="I6" s="11"/>
      <c r="J6" s="11"/>
      <c r="K6" s="5"/>
    </row>
    <row r="7" customFormat="false" ht="15.75" hidden="false" customHeight="false" outlineLevel="0" collapsed="false">
      <c r="A7" s="43" t="n">
        <v>4</v>
      </c>
      <c r="B7" s="44" t="s">
        <v>652</v>
      </c>
      <c r="C7" s="27" t="n">
        <v>25120</v>
      </c>
      <c r="D7" s="27" t="s">
        <v>653</v>
      </c>
      <c r="E7" s="27" t="s">
        <v>654</v>
      </c>
      <c r="F7" s="45" t="n">
        <v>37441</v>
      </c>
      <c r="G7" s="13" t="s">
        <v>617</v>
      </c>
      <c r="H7" s="13"/>
      <c r="I7" s="13"/>
      <c r="J7" s="13"/>
      <c r="K7" s="5"/>
    </row>
    <row r="8" customFormat="false" ht="15.75" hidden="false" customHeight="false" outlineLevel="0" collapsed="false">
      <c r="A8" s="43" t="n">
        <v>5</v>
      </c>
      <c r="B8" s="44" t="s">
        <v>655</v>
      </c>
      <c r="C8" s="27" t="n">
        <v>0</v>
      </c>
      <c r="D8" s="27" t="s">
        <v>656</v>
      </c>
      <c r="E8" s="27"/>
      <c r="F8" s="27" t="s">
        <v>657</v>
      </c>
      <c r="G8" s="13" t="s">
        <v>617</v>
      </c>
      <c r="I8" s="11"/>
      <c r="J8" s="11"/>
      <c r="K8" s="11"/>
    </row>
    <row r="9" customFormat="false" ht="15.75" hidden="false" customHeight="false" outlineLevel="0" collapsed="false">
      <c r="A9" s="43" t="n">
        <v>6</v>
      </c>
      <c r="B9" s="44" t="s">
        <v>658</v>
      </c>
      <c r="C9" s="27" t="n">
        <v>25125</v>
      </c>
      <c r="D9" s="27" t="s">
        <v>659</v>
      </c>
      <c r="E9" s="27" t="s">
        <v>660</v>
      </c>
      <c r="F9" s="27" t="s">
        <v>661</v>
      </c>
      <c r="I9" s="11"/>
      <c r="J9" s="11"/>
      <c r="K9" s="5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customFormat="false" ht="15.75" hidden="false" customHeight="false" outlineLevel="0" collapsed="false">
      <c r="A10" s="43" t="n">
        <v>7</v>
      </c>
      <c r="B10" s="44" t="s">
        <v>662</v>
      </c>
      <c r="C10" s="27" t="n">
        <v>25119</v>
      </c>
      <c r="D10" s="27" t="s">
        <v>663</v>
      </c>
      <c r="E10" s="27" t="s">
        <v>664</v>
      </c>
      <c r="F10" s="27" t="s">
        <v>665</v>
      </c>
      <c r="G10" s="13"/>
      <c r="H10" s="13"/>
      <c r="I10" s="13"/>
      <c r="J10" s="13"/>
      <c r="K10" s="5"/>
    </row>
    <row r="11" customFormat="false" ht="15.75" hidden="false" customHeight="false" outlineLevel="0" collapsed="false">
      <c r="A11" s="43" t="n">
        <v>8</v>
      </c>
      <c r="B11" s="44" t="s">
        <v>666</v>
      </c>
      <c r="C11" s="27"/>
      <c r="D11" s="27" t="s">
        <v>667</v>
      </c>
      <c r="E11" s="27" t="s">
        <v>668</v>
      </c>
      <c r="F11" s="45" t="n">
        <v>36526</v>
      </c>
      <c r="G11" s="11"/>
      <c r="H11" s="11"/>
      <c r="I11" s="11"/>
      <c r="J11" s="11"/>
      <c r="K11" s="5"/>
    </row>
    <row r="12" customFormat="false" ht="15.75" hidden="false" customHeight="false" outlineLevel="0" collapsed="false">
      <c r="A12" s="43" t="n">
        <v>9</v>
      </c>
      <c r="B12" s="44" t="s">
        <v>669</v>
      </c>
      <c r="C12" s="27" t="n">
        <v>25126</v>
      </c>
      <c r="D12" s="27" t="s">
        <v>670</v>
      </c>
      <c r="E12" s="27" t="s">
        <v>671</v>
      </c>
      <c r="F12" s="45" t="n">
        <v>38475</v>
      </c>
      <c r="G12" s="11"/>
      <c r="H12" s="11"/>
      <c r="I12" s="11"/>
      <c r="J12" s="11"/>
      <c r="K12" s="5"/>
    </row>
    <row r="13" customFormat="false" ht="15.75" hidden="false" customHeight="false" outlineLevel="0" collapsed="false">
      <c r="A13" s="43" t="n">
        <v>10</v>
      </c>
      <c r="B13" s="44" t="s">
        <v>672</v>
      </c>
      <c r="C13" s="27" t="n">
        <v>25128</v>
      </c>
      <c r="D13" s="27" t="s">
        <v>673</v>
      </c>
      <c r="E13" s="27" t="s">
        <v>674</v>
      </c>
      <c r="F13" s="45" t="n">
        <v>38904</v>
      </c>
      <c r="G13" s="13"/>
      <c r="H13" s="13"/>
      <c r="I13" s="13"/>
      <c r="J13" s="13"/>
      <c r="K13" s="5"/>
    </row>
    <row r="14" customFormat="false" ht="15.75" hidden="false" customHeight="false" outlineLevel="0" collapsed="false">
      <c r="A14" s="43" t="n">
        <v>11</v>
      </c>
      <c r="B14" s="44" t="s">
        <v>675</v>
      </c>
      <c r="C14" s="27" t="n">
        <v>25121</v>
      </c>
      <c r="D14" s="27" t="s">
        <v>676</v>
      </c>
      <c r="E14" s="27"/>
      <c r="F14" s="27" t="s">
        <v>677</v>
      </c>
      <c r="G14" s="11"/>
      <c r="H14" s="11"/>
      <c r="I14" s="11"/>
      <c r="J14" s="11"/>
      <c r="K14" s="5"/>
    </row>
    <row r="15" customFormat="false" ht="15.75" hidden="false" customHeight="false" outlineLevel="0" collapsed="false">
      <c r="A15" s="43" t="n">
        <v>12</v>
      </c>
      <c r="B15" s="44" t="s">
        <v>678</v>
      </c>
      <c r="C15" s="27" t="n">
        <v>25122</v>
      </c>
      <c r="D15" s="27" t="s">
        <v>679</v>
      </c>
      <c r="E15" s="27" t="s">
        <v>680</v>
      </c>
      <c r="F15" s="45" t="n">
        <v>39814</v>
      </c>
      <c r="G15" s="13"/>
      <c r="H15" s="13"/>
      <c r="I15" s="13"/>
      <c r="J15" s="13"/>
      <c r="K15" s="5"/>
    </row>
    <row r="16" customFormat="false" ht="15.75" hidden="false" customHeight="false" outlineLevel="0" collapsed="false">
      <c r="A16" s="43" t="n">
        <v>13</v>
      </c>
      <c r="B16" s="44" t="s">
        <v>681</v>
      </c>
      <c r="C16" s="27" t="n">
        <v>25123</v>
      </c>
      <c r="D16" s="27" t="s">
        <v>682</v>
      </c>
      <c r="E16" s="27" t="s">
        <v>683</v>
      </c>
      <c r="F16" s="45" t="n">
        <v>40391</v>
      </c>
      <c r="G16" s="11"/>
      <c r="H16" s="11"/>
      <c r="I16" s="11"/>
      <c r="J16" s="11"/>
      <c r="K16" s="5"/>
    </row>
    <row r="17" customFormat="false" ht="15.75" hidden="false" customHeight="false" outlineLevel="0" collapsed="false">
      <c r="A17" s="47"/>
      <c r="G17" s="13"/>
      <c r="H17" s="13"/>
      <c r="I17" s="13"/>
      <c r="J17" s="13"/>
      <c r="K17" s="5"/>
    </row>
    <row r="18" customFormat="false" ht="15.75" hidden="false" customHeight="false" outlineLevel="0" collapsed="false">
      <c r="A18" s="46"/>
      <c r="G18" s="11"/>
      <c r="H18" s="11"/>
      <c r="I18" s="11"/>
      <c r="J18" s="11"/>
      <c r="K18" s="5"/>
    </row>
    <row r="19" customFormat="false" ht="15.75" hidden="false" customHeight="false" outlineLevel="0" collapsed="false">
      <c r="A19" s="43"/>
      <c r="B19" s="13"/>
      <c r="C19" s="13"/>
      <c r="D19" s="13"/>
      <c r="E19" s="13"/>
      <c r="F19" s="13"/>
      <c r="G19" s="13"/>
      <c r="H19" s="13"/>
      <c r="I19" s="13"/>
      <c r="J19" s="13"/>
      <c r="K19" s="5"/>
    </row>
    <row r="20" customFormat="false" ht="15.75" hidden="false" customHeight="false" outlineLevel="0" collapsed="false">
      <c r="A20" s="47"/>
      <c r="B20" s="11"/>
      <c r="C20" s="11"/>
      <c r="D20" s="11"/>
      <c r="E20" s="11"/>
      <c r="F20" s="11"/>
      <c r="G20" s="11"/>
      <c r="H20" s="11"/>
      <c r="I20" s="11"/>
      <c r="J20" s="11"/>
      <c r="K20" s="5"/>
    </row>
  </sheetData>
  <mergeCells count="3">
    <mergeCell ref="A1:J1"/>
    <mergeCell ref="A2:E2"/>
    <mergeCell ref="F2:J2"/>
  </mergeCells>
  <dataValidations count="1">
    <dataValidation allowBlank="true" errorStyle="stop" operator="between" showDropDown="true" showErrorMessage="false" showInputMessage="false" sqref="A17:A18 A20" type="custom">
      <formula1>OR(NOT(ISERROR(DATEVALUE(A17))), AND(ISNUMBER(A17), LEFT(CELL("format", A17))="D"))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8.5"/>
    <col collapsed="false" customWidth="true" hidden="false" outlineLevel="0" max="3" min="3" style="0" width="27.25"/>
    <col collapsed="false" customWidth="true" hidden="false" outlineLevel="0" max="4" min="4" style="0" width="18.75"/>
    <col collapsed="false" customWidth="true" hidden="false" outlineLevel="0" max="5" min="5" style="0" width="22.25"/>
    <col collapsed="false" customWidth="true" hidden="false" outlineLevel="0" max="6" min="6" style="0" width="20.88"/>
    <col collapsed="false" customWidth="true" hidden="false" outlineLevel="0" max="8" min="7" style="0" width="19.51"/>
    <col collapsed="false" customWidth="true" hidden="false" outlineLevel="0" max="11" min="9" style="0" width="26.25"/>
  </cols>
  <sheetData>
    <row r="1" customFormat="false" ht="26.8" hidden="false" customHeight="false" outlineLevel="0" collapsed="false">
      <c r="A1" s="56" t="s">
        <v>684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17.35" hidden="false" customHeight="false" outlineLevel="0" collapsed="false">
      <c r="A2" s="6" t="s">
        <v>685</v>
      </c>
      <c r="B2" s="6"/>
      <c r="C2" s="6"/>
      <c r="D2" s="6"/>
      <c r="E2" s="6"/>
      <c r="F2" s="6"/>
      <c r="G2" s="57"/>
      <c r="H2" s="6" t="s">
        <v>306</v>
      </c>
      <c r="I2" s="6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customFormat="false" ht="17.35" hidden="false" customHeight="false" outlineLevel="0" collapsed="false">
      <c r="A3" s="8" t="s">
        <v>48</v>
      </c>
      <c r="B3" s="8" t="s">
        <v>686</v>
      </c>
      <c r="C3" s="8" t="s">
        <v>4</v>
      </c>
      <c r="D3" s="9" t="s">
        <v>49</v>
      </c>
      <c r="E3" s="8" t="s">
        <v>5</v>
      </c>
      <c r="F3" s="8" t="s">
        <v>6</v>
      </c>
      <c r="G3" s="8" t="s">
        <v>577</v>
      </c>
      <c r="H3" s="8" t="s">
        <v>50</v>
      </c>
      <c r="I3" s="8" t="s">
        <v>51</v>
      </c>
      <c r="J3" s="9" t="s">
        <v>687</v>
      </c>
      <c r="K3" s="8" t="s">
        <v>688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customFormat="false" ht="15.75" hidden="false" customHeight="false" outlineLevel="0" collapsed="false">
      <c r="A4" s="58" t="n">
        <v>1</v>
      </c>
      <c r="B4" s="59" t="s">
        <v>689</v>
      </c>
      <c r="C4" s="59" t="s">
        <v>690</v>
      </c>
      <c r="D4" s="20" t="n">
        <v>25148</v>
      </c>
      <c r="E4" s="20" t="s">
        <v>691</v>
      </c>
      <c r="F4" s="20" t="s">
        <v>692</v>
      </c>
      <c r="G4" s="20"/>
      <c r="H4" s="60" t="s">
        <v>693</v>
      </c>
      <c r="I4" s="20"/>
      <c r="J4" s="20"/>
      <c r="K4" s="20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customFormat="false" ht="15.75" hidden="false" customHeight="false" outlineLevel="0" collapsed="false">
      <c r="A5" s="58" t="n">
        <v>2</v>
      </c>
      <c r="B5" s="59" t="s">
        <v>689</v>
      </c>
      <c r="C5" s="59" t="s">
        <v>694</v>
      </c>
      <c r="D5" s="20" t="n">
        <v>25147</v>
      </c>
      <c r="E5" s="20" t="s">
        <v>695</v>
      </c>
      <c r="F5" s="20" t="s">
        <v>696</v>
      </c>
      <c r="G5" s="20" t="s">
        <v>697</v>
      </c>
      <c r="H5" s="60" t="s">
        <v>698</v>
      </c>
      <c r="I5" s="61"/>
      <c r="J5" s="61"/>
      <c r="K5" s="61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customFormat="false" ht="15.75" hidden="false" customHeight="false" outlineLevel="0" collapsed="false">
      <c r="A6" s="58" t="n">
        <v>3</v>
      </c>
      <c r="B6" s="59" t="s">
        <v>689</v>
      </c>
      <c r="C6" s="59" t="s">
        <v>699</v>
      </c>
      <c r="D6" s="20" t="n">
        <v>25145</v>
      </c>
      <c r="E6" s="20" t="s">
        <v>700</v>
      </c>
      <c r="F6" s="20" t="s">
        <v>701</v>
      </c>
      <c r="G6" s="20" t="s">
        <v>587</v>
      </c>
      <c r="H6" s="60" t="s">
        <v>702</v>
      </c>
      <c r="I6" s="61" t="s">
        <v>703</v>
      </c>
      <c r="J6" s="20"/>
      <c r="K6" s="20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customFormat="false" ht="15.75" hidden="false" customHeight="false" outlineLevel="0" collapsed="false">
      <c r="A7" s="58" t="n">
        <v>4</v>
      </c>
      <c r="B7" s="59" t="s">
        <v>689</v>
      </c>
      <c r="C7" s="62" t="s">
        <v>704</v>
      </c>
      <c r="D7" s="61" t="n">
        <v>25144</v>
      </c>
      <c r="E7" s="61" t="s">
        <v>705</v>
      </c>
      <c r="F7" s="61" t="s">
        <v>706</v>
      </c>
      <c r="G7" s="61" t="s">
        <v>707</v>
      </c>
      <c r="H7" s="63" t="s">
        <v>708</v>
      </c>
      <c r="I7" s="61"/>
      <c r="J7" s="61"/>
      <c r="K7" s="61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customFormat="false" ht="15.75" hidden="false" customHeight="false" outlineLevel="0" collapsed="false">
      <c r="A8" s="58" t="n">
        <v>5</v>
      </c>
      <c r="B8" s="59" t="s">
        <v>689</v>
      </c>
      <c r="C8" s="59" t="s">
        <v>709</v>
      </c>
      <c r="D8" s="20" t="n">
        <v>25137</v>
      </c>
      <c r="E8" s="20" t="s">
        <v>710</v>
      </c>
      <c r="F8" s="20" t="s">
        <v>711</v>
      </c>
      <c r="G8" s="20" t="s">
        <v>584</v>
      </c>
      <c r="H8" s="60" t="s">
        <v>712</v>
      </c>
      <c r="I8" s="61" t="s">
        <v>703</v>
      </c>
      <c r="J8" s="20"/>
      <c r="K8" s="20"/>
      <c r="L8" s="64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customFormat="false" ht="15.75" hidden="false" customHeight="false" outlineLevel="0" collapsed="false">
      <c r="A9" s="58" t="n">
        <v>6</v>
      </c>
      <c r="B9" s="59" t="s">
        <v>689</v>
      </c>
      <c r="C9" s="59" t="s">
        <v>713</v>
      </c>
      <c r="D9" s="20" t="n">
        <v>25153</v>
      </c>
      <c r="E9" s="38" t="s">
        <v>131</v>
      </c>
      <c r="F9" s="20" t="s">
        <v>714</v>
      </c>
      <c r="G9" s="20" t="s">
        <v>587</v>
      </c>
      <c r="H9" s="60" t="n">
        <v>37408</v>
      </c>
      <c r="I9" s="61" t="s">
        <v>703</v>
      </c>
      <c r="J9" s="61"/>
      <c r="K9" s="61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customFormat="false" ht="15.75" hidden="false" customHeight="false" outlineLevel="0" collapsed="false">
      <c r="A10" s="58" t="n">
        <v>7</v>
      </c>
      <c r="B10" s="59" t="s">
        <v>689</v>
      </c>
      <c r="C10" s="59" t="s">
        <v>715</v>
      </c>
      <c r="D10" s="20" t="n">
        <v>25152</v>
      </c>
      <c r="E10" s="20" t="s">
        <v>716</v>
      </c>
      <c r="F10" s="61" t="s">
        <v>717</v>
      </c>
      <c r="G10" s="61" t="s">
        <v>584</v>
      </c>
      <c r="H10" s="63" t="n">
        <v>37622</v>
      </c>
      <c r="I10" s="20" t="s">
        <v>703</v>
      </c>
      <c r="J10" s="20"/>
      <c r="K10" s="20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customFormat="false" ht="15.75" hidden="false" customHeight="false" outlineLevel="0" collapsed="false">
      <c r="A11" s="58" t="n">
        <v>8</v>
      </c>
      <c r="B11" s="59" t="s">
        <v>689</v>
      </c>
      <c r="C11" s="59" t="s">
        <v>718</v>
      </c>
      <c r="D11" s="20" t="n">
        <v>25154</v>
      </c>
      <c r="E11" s="20" t="s">
        <v>719</v>
      </c>
      <c r="F11" s="20"/>
      <c r="G11" s="20" t="s">
        <v>587</v>
      </c>
      <c r="H11" s="60" t="n">
        <v>36654</v>
      </c>
      <c r="I11" s="61"/>
      <c r="J11" s="61"/>
      <c r="K11" s="61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customFormat="false" ht="15.75" hidden="false" customHeight="false" outlineLevel="0" collapsed="false">
      <c r="A12" s="58" t="n">
        <v>9</v>
      </c>
      <c r="B12" s="59" t="s">
        <v>689</v>
      </c>
      <c r="C12" s="59" t="s">
        <v>720</v>
      </c>
      <c r="D12" s="20" t="n">
        <v>25162</v>
      </c>
      <c r="E12" s="20" t="s">
        <v>721</v>
      </c>
      <c r="F12" s="20" t="s">
        <v>722</v>
      </c>
      <c r="G12" s="20" t="s">
        <v>697</v>
      </c>
      <c r="H12" s="60" t="n">
        <v>39727</v>
      </c>
      <c r="I12" s="20"/>
      <c r="J12" s="20"/>
      <c r="K12" s="20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customFormat="false" ht="15.75" hidden="false" customHeight="false" outlineLevel="0" collapsed="false">
      <c r="A13" s="58" t="n">
        <v>10</v>
      </c>
      <c r="B13" s="59" t="s">
        <v>689</v>
      </c>
      <c r="C13" s="48" t="s">
        <v>723</v>
      </c>
      <c r="D13" s="27" t="n">
        <v>25156</v>
      </c>
      <c r="E13" s="27" t="s">
        <v>724</v>
      </c>
      <c r="F13" s="27"/>
      <c r="G13" s="27"/>
      <c r="H13" s="65" t="s">
        <v>725</v>
      </c>
      <c r="I13" s="61" t="s">
        <v>703</v>
      </c>
      <c r="J13" s="61"/>
      <c r="K13" s="61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customFormat="false" ht="15.75" hidden="false" customHeight="false" outlineLevel="0" collapsed="false">
      <c r="A14" s="58" t="n">
        <v>11</v>
      </c>
      <c r="B14" s="59" t="s">
        <v>689</v>
      </c>
      <c r="C14" s="62" t="s">
        <v>726</v>
      </c>
      <c r="D14" s="61" t="n">
        <v>25159</v>
      </c>
      <c r="E14" s="61" t="s">
        <v>137</v>
      </c>
      <c r="F14" s="61" t="s">
        <v>727</v>
      </c>
      <c r="G14" s="61" t="s">
        <v>587</v>
      </c>
      <c r="H14" s="63" t="s">
        <v>728</v>
      </c>
      <c r="I14" s="20" t="s">
        <v>703</v>
      </c>
      <c r="J14" s="20"/>
      <c r="K14" s="20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customFormat="false" ht="15.75" hidden="false" customHeight="false" outlineLevel="0" collapsed="false">
      <c r="A15" s="58" t="n">
        <v>12</v>
      </c>
      <c r="B15" s="59" t="s">
        <v>689</v>
      </c>
      <c r="C15" s="48" t="s">
        <v>729</v>
      </c>
      <c r="D15" s="61" t="n">
        <v>25157</v>
      </c>
      <c r="E15" s="27" t="s">
        <v>730</v>
      </c>
      <c r="F15" s="27" t="s">
        <v>135</v>
      </c>
      <c r="G15" s="27"/>
      <c r="H15" s="65" t="s">
        <v>731</v>
      </c>
      <c r="I15" s="61"/>
      <c r="J15" s="61"/>
      <c r="K15" s="61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customFormat="false" ht="15.75" hidden="false" customHeight="false" outlineLevel="0" collapsed="false">
      <c r="A16" s="58" t="n">
        <v>13</v>
      </c>
      <c r="B16" s="59" t="s">
        <v>689</v>
      </c>
      <c r="C16" s="48" t="s">
        <v>732</v>
      </c>
      <c r="D16" s="27" t="n">
        <v>25195</v>
      </c>
      <c r="E16" s="27" t="s">
        <v>169</v>
      </c>
      <c r="F16" s="27" t="s">
        <v>733</v>
      </c>
      <c r="G16" s="27" t="s">
        <v>617</v>
      </c>
      <c r="H16" s="65" t="s">
        <v>734</v>
      </c>
      <c r="I16" s="61" t="s">
        <v>703</v>
      </c>
      <c r="J16" s="20"/>
      <c r="K16" s="20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customFormat="false" ht="15.75" hidden="false" customHeight="false" outlineLevel="0" collapsed="false">
      <c r="A17" s="58" t="n">
        <v>14</v>
      </c>
      <c r="B17" s="59" t="s">
        <v>689</v>
      </c>
      <c r="C17" s="66" t="s">
        <v>735</v>
      </c>
      <c r="D17" s="20" t="n">
        <v>25184</v>
      </c>
      <c r="E17" s="20" t="s">
        <v>157</v>
      </c>
      <c r="F17" s="20" t="s">
        <v>736</v>
      </c>
      <c r="G17" s="20" t="s">
        <v>584</v>
      </c>
      <c r="H17" s="60" t="n">
        <v>37899</v>
      </c>
      <c r="I17" s="20" t="s">
        <v>703</v>
      </c>
      <c r="J17" s="20"/>
      <c r="K17" s="20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customFormat="false" ht="15.75" hidden="false" customHeight="false" outlineLevel="0" collapsed="false">
      <c r="A18" s="58" t="n">
        <v>15</v>
      </c>
      <c r="B18" s="59" t="s">
        <v>689</v>
      </c>
      <c r="C18" s="67" t="s">
        <v>737</v>
      </c>
      <c r="D18" s="68" t="n">
        <v>25158</v>
      </c>
      <c r="E18" s="68" t="s">
        <v>139</v>
      </c>
      <c r="F18" s="68" t="n">
        <v>96598523956</v>
      </c>
      <c r="G18" s="11" t="s">
        <v>584</v>
      </c>
      <c r="H18" s="69" t="n">
        <v>37987</v>
      </c>
      <c r="I18" s="22"/>
      <c r="J18" s="61"/>
      <c r="K18" s="61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customFormat="false" ht="15.75" hidden="false" customHeight="false" outlineLevel="0" collapsed="false">
      <c r="A19" s="58" t="n">
        <v>16</v>
      </c>
      <c r="B19" s="59" t="s">
        <v>689</v>
      </c>
      <c r="C19" s="44" t="s">
        <v>644</v>
      </c>
      <c r="D19" s="27" t="n">
        <v>25117</v>
      </c>
      <c r="E19" s="27" t="s">
        <v>645</v>
      </c>
      <c r="F19" s="27" t="s">
        <v>646</v>
      </c>
      <c r="G19" s="13" t="s">
        <v>617</v>
      </c>
      <c r="H19" s="65" t="s">
        <v>647</v>
      </c>
      <c r="J19" s="70"/>
      <c r="K19" s="70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customFormat="false" ht="18.75" hidden="false" customHeight="true" outlineLevel="0" collapsed="false">
      <c r="A20" s="58" t="n">
        <v>17</v>
      </c>
      <c r="B20" s="59" t="s">
        <v>689</v>
      </c>
      <c r="C20" s="44" t="s">
        <v>648</v>
      </c>
      <c r="D20" s="27" t="n">
        <v>25118</v>
      </c>
      <c r="E20" s="27" t="s">
        <v>649</v>
      </c>
      <c r="F20" s="27" t="s">
        <v>650</v>
      </c>
      <c r="G20" s="13" t="s">
        <v>617</v>
      </c>
      <c r="H20" s="65" t="s">
        <v>651</v>
      </c>
      <c r="J20" s="22"/>
      <c r="K20" s="22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customFormat="false" ht="15.75" hidden="false" customHeight="false" outlineLevel="0" collapsed="false">
      <c r="A21" s="58" t="n">
        <v>18</v>
      </c>
      <c r="B21" s="59" t="s">
        <v>689</v>
      </c>
      <c r="C21" s="49" t="s">
        <v>636</v>
      </c>
      <c r="D21" s="27" t="n">
        <v>230</v>
      </c>
      <c r="E21" s="27" t="s">
        <v>637</v>
      </c>
      <c r="F21" s="27" t="s">
        <v>638</v>
      </c>
      <c r="G21" s="13" t="s">
        <v>617</v>
      </c>
      <c r="H21" s="65" t="n">
        <v>38819</v>
      </c>
      <c r="J21" s="22"/>
      <c r="K21" s="22"/>
    </row>
    <row r="22" customFormat="false" ht="15.75" hidden="false" customHeight="false" outlineLevel="0" collapsed="false">
      <c r="A22" s="58" t="n">
        <v>19</v>
      </c>
      <c r="B22" s="59" t="s">
        <v>689</v>
      </c>
      <c r="C22" s="44" t="s">
        <v>652</v>
      </c>
      <c r="D22" s="27" t="n">
        <v>25120</v>
      </c>
      <c r="E22" s="27" t="s">
        <v>653</v>
      </c>
      <c r="F22" s="27" t="s">
        <v>654</v>
      </c>
      <c r="G22" s="13" t="s">
        <v>617</v>
      </c>
      <c r="H22" s="65" t="n">
        <v>37441</v>
      </c>
      <c r="J22" s="64"/>
      <c r="K22" s="64"/>
      <c r="L22" s="48"/>
      <c r="M22" s="48"/>
      <c r="N22" s="48" t="s">
        <v>738</v>
      </c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customFormat="false" ht="15.75" hidden="false" customHeight="false" outlineLevel="0" collapsed="false">
      <c r="A23" s="58" t="n">
        <v>20</v>
      </c>
      <c r="B23" s="59" t="s">
        <v>689</v>
      </c>
      <c r="C23" s="44" t="s">
        <v>655</v>
      </c>
      <c r="D23" s="27" t="n">
        <v>0</v>
      </c>
      <c r="E23" s="27" t="s">
        <v>656</v>
      </c>
      <c r="F23" s="27"/>
      <c r="H23" s="65" t="s">
        <v>657</v>
      </c>
      <c r="J23" s="72"/>
      <c r="K23" s="72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customFormat="false" ht="15.75" hidden="false" customHeight="false" outlineLevel="0" collapsed="false">
      <c r="A24" s="58" t="n">
        <v>21</v>
      </c>
      <c r="B24" s="59" t="s">
        <v>689</v>
      </c>
      <c r="C24" s="62" t="s">
        <v>739</v>
      </c>
      <c r="D24" s="61" t="n">
        <v>25151</v>
      </c>
      <c r="E24" s="61" t="s">
        <v>740</v>
      </c>
      <c r="F24" s="61" t="s">
        <v>741</v>
      </c>
      <c r="G24" s="61"/>
      <c r="H24" s="63" t="s">
        <v>742</v>
      </c>
      <c r="I24" s="72"/>
      <c r="J24" s="72"/>
      <c r="K24" s="72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customFormat="false" ht="15.75" hidden="false" customHeight="false" outlineLevel="0" collapsed="false">
      <c r="A25" s="58"/>
      <c r="B25" s="73"/>
      <c r="C25" s="73"/>
      <c r="D25" s="61"/>
      <c r="E25" s="61"/>
      <c r="F25" s="22"/>
      <c r="G25" s="61"/>
      <c r="H25" s="61"/>
      <c r="I25" s="72"/>
      <c r="J25" s="72"/>
      <c r="K25" s="72"/>
    </row>
    <row r="26" customFormat="false" ht="15.75" hidden="false" customHeight="false" outlineLevel="0" collapsed="false">
      <c r="D26" s="74"/>
      <c r="E26" s="74"/>
      <c r="F26" s="74"/>
      <c r="G26" s="74"/>
      <c r="H26" s="74"/>
      <c r="I26" s="74"/>
      <c r="J26" s="74"/>
      <c r="K26" s="74"/>
      <c r="O26" s="75"/>
      <c r="P26" s="74"/>
    </row>
    <row r="27" customFormat="false" ht="15.75" hidden="false" customHeight="false" outlineLevel="0" collapsed="false">
      <c r="D27" s="74"/>
      <c r="F27" s="74"/>
      <c r="G27" s="74"/>
      <c r="H27" s="74"/>
    </row>
    <row r="28" customFormat="false" ht="15.75" hidden="false" customHeight="false" outlineLevel="0" collapsed="false">
      <c r="D28" s="74"/>
      <c r="E28" s="74"/>
      <c r="F28" s="74"/>
      <c r="G28" s="74"/>
      <c r="H28" s="74"/>
      <c r="I28" s="74"/>
      <c r="J28" s="74"/>
      <c r="K28" s="74"/>
      <c r="L28" s="75"/>
      <c r="M28" s="75"/>
      <c r="O28" s="75"/>
      <c r="P28" s="74"/>
    </row>
    <row r="29" customFormat="false" ht="15.75" hidden="false" customHeight="false" outlineLevel="0" collapsed="false">
      <c r="G29" s="74"/>
      <c r="H29" s="74"/>
    </row>
    <row r="31" customFormat="false" ht="15.75" hidden="false" customHeight="false" outlineLevel="0" collapsed="false">
      <c r="E31" s="22" t="s">
        <v>55</v>
      </c>
    </row>
    <row r="32" customFormat="false" ht="15.75" hidden="false" customHeight="false" outlineLevel="0" collapsed="false">
      <c r="J32" s="22" t="s">
        <v>238</v>
      </c>
    </row>
    <row r="35" customFormat="false" ht="15.75" hidden="false" customHeight="false" outlineLevel="0" collapsed="false">
      <c r="F35" s="22" t="s">
        <v>738</v>
      </c>
      <c r="N35" s="22" t="s">
        <v>55</v>
      </c>
    </row>
  </sheetData>
  <mergeCells count="3">
    <mergeCell ref="A1:K1"/>
    <mergeCell ref="A2:F2"/>
    <mergeCell ref="H2:K2"/>
  </mergeCells>
  <conditionalFormatting sqref="A1:K1">
    <cfRule type="expression" priority="2" aboveAverage="0" equalAverage="0" bottom="0" percent="0" rank="0" text="" dxfId="9">
      <formula>LEN(TRIM(A1))&gt;0</formula>
    </cfRule>
  </conditionalFormatting>
  <conditionalFormatting sqref="B3:C3">
    <cfRule type="colorScale" priority="3">
      <colorScale>
        <cfvo type="min" val="0"/>
        <cfvo type="max" val="0"/>
        <color rgb="FF3C78D8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29.51"/>
    <col collapsed="false" customWidth="true" hidden="false" outlineLevel="0" max="5" min="5" style="0" width="24"/>
    <col collapsed="false" customWidth="true" hidden="false" outlineLevel="0" max="6" min="6" style="0" width="20.75"/>
    <col collapsed="false" customWidth="true" hidden="false" outlineLevel="0" max="8" min="7" style="0" width="20.63"/>
    <col collapsed="false" customWidth="true" hidden="false" outlineLevel="0" max="9" min="9" style="0" width="16"/>
    <col collapsed="false" customWidth="true" hidden="false" outlineLevel="0" max="10" min="10" style="0" width="20.25"/>
    <col collapsed="false" customWidth="true" hidden="false" outlineLevel="0" max="11" min="11" style="0" width="16"/>
  </cols>
  <sheetData>
    <row r="1" customFormat="false" ht="26.8" hidden="false" customHeight="false" outlineLevel="0" collapsed="false">
      <c r="A1" s="56" t="s">
        <v>743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"/>
    </row>
    <row r="2" customFormat="false" ht="17.35" hidden="false" customHeight="false" outlineLevel="0" collapsed="false">
      <c r="A2" s="6" t="s">
        <v>744</v>
      </c>
      <c r="B2" s="6"/>
      <c r="C2" s="6"/>
      <c r="D2" s="6"/>
      <c r="E2" s="6"/>
      <c r="F2" s="6"/>
      <c r="G2" s="6" t="s">
        <v>306</v>
      </c>
      <c r="H2" s="6"/>
      <c r="I2" s="6"/>
      <c r="J2" s="6"/>
      <c r="K2" s="6"/>
      <c r="L2" s="5"/>
    </row>
    <row r="3" customFormat="false" ht="17.35" hidden="false" customHeight="false" outlineLevel="0" collapsed="false">
      <c r="A3" s="8" t="s">
        <v>48</v>
      </c>
      <c r="B3" s="8" t="s">
        <v>686</v>
      </c>
      <c r="C3" s="8" t="s">
        <v>4</v>
      </c>
      <c r="D3" s="9" t="s">
        <v>49</v>
      </c>
      <c r="E3" s="8" t="s">
        <v>5</v>
      </c>
      <c r="F3" s="8" t="s">
        <v>6</v>
      </c>
      <c r="G3" s="8" t="s">
        <v>745</v>
      </c>
      <c r="H3" s="8" t="s">
        <v>50</v>
      </c>
      <c r="I3" s="8" t="s">
        <v>51</v>
      </c>
      <c r="J3" s="9" t="s">
        <v>687</v>
      </c>
      <c r="K3" s="8" t="s">
        <v>688</v>
      </c>
      <c r="L3" s="5"/>
    </row>
    <row r="4" customFormat="false" ht="15.75" hidden="false" customHeight="false" outlineLevel="0" collapsed="false">
      <c r="A4" s="58" t="n">
        <v>1</v>
      </c>
      <c r="B4" s="59"/>
      <c r="C4" s="59" t="s">
        <v>746</v>
      </c>
      <c r="D4" s="20" t="n">
        <v>25161</v>
      </c>
      <c r="E4" s="20" t="s">
        <v>141</v>
      </c>
      <c r="F4" s="20" t="s">
        <v>747</v>
      </c>
      <c r="G4" s="20" t="s">
        <v>617</v>
      </c>
      <c r="H4" s="60" t="s">
        <v>748</v>
      </c>
      <c r="I4" s="20"/>
      <c r="J4" s="20"/>
      <c r="K4" s="20"/>
      <c r="L4" s="48"/>
    </row>
    <row r="5" customFormat="false" ht="15.75" hidden="false" customHeight="false" outlineLevel="0" collapsed="false">
      <c r="A5" s="58" t="n">
        <v>2</v>
      </c>
      <c r="B5" s="62"/>
      <c r="C5" s="62" t="s">
        <v>749</v>
      </c>
      <c r="D5" s="61" t="n">
        <v>25163</v>
      </c>
      <c r="E5" s="61" t="s">
        <v>750</v>
      </c>
      <c r="F5" s="61" t="s">
        <v>751</v>
      </c>
      <c r="G5" s="61" t="s">
        <v>584</v>
      </c>
      <c r="H5" s="63" t="n">
        <v>37744</v>
      </c>
      <c r="I5" s="61"/>
      <c r="J5" s="61"/>
      <c r="K5" s="61"/>
      <c r="L5" s="48"/>
    </row>
    <row r="6" customFormat="false" ht="15.75" hidden="false" customHeight="false" outlineLevel="0" collapsed="false">
      <c r="A6" s="58" t="n">
        <v>3</v>
      </c>
      <c r="B6" s="76"/>
      <c r="C6" s="76" t="s">
        <v>752</v>
      </c>
      <c r="D6" s="20" t="n">
        <v>25164</v>
      </c>
      <c r="E6" s="77" t="s">
        <v>753</v>
      </c>
      <c r="F6" s="77" t="s">
        <v>754</v>
      </c>
      <c r="G6" s="77" t="s">
        <v>587</v>
      </c>
      <c r="H6" s="78" t="n">
        <v>38847</v>
      </c>
      <c r="I6" s="20"/>
      <c r="J6" s="20"/>
      <c r="K6" s="20"/>
      <c r="L6" s="48"/>
    </row>
    <row r="7" customFormat="false" ht="15.75" hidden="false" customHeight="false" outlineLevel="0" collapsed="false">
      <c r="A7" s="58" t="n">
        <v>4</v>
      </c>
      <c r="B7" s="76"/>
      <c r="C7" s="59" t="s">
        <v>755</v>
      </c>
      <c r="D7" s="20" t="n">
        <v>25165</v>
      </c>
      <c r="E7" s="20" t="s">
        <v>756</v>
      </c>
      <c r="F7" s="20" t="s">
        <v>757</v>
      </c>
      <c r="G7" s="20" t="s">
        <v>617</v>
      </c>
      <c r="H7" s="60" t="n">
        <v>34828</v>
      </c>
      <c r="I7" s="79"/>
      <c r="J7" s="79"/>
      <c r="K7" s="79"/>
      <c r="L7" s="48"/>
    </row>
    <row r="8" customFormat="false" ht="15.75" hidden="false" customHeight="false" outlineLevel="0" collapsed="false">
      <c r="A8" s="58" t="n">
        <v>5</v>
      </c>
      <c r="B8" s="59"/>
      <c r="C8" s="59" t="s">
        <v>758</v>
      </c>
      <c r="D8" s="20" t="n">
        <v>25166</v>
      </c>
      <c r="E8" s="20" t="s">
        <v>759</v>
      </c>
      <c r="F8" s="20" t="s">
        <v>760</v>
      </c>
      <c r="G8" s="20" t="s">
        <v>587</v>
      </c>
      <c r="H8" s="60" t="s">
        <v>761</v>
      </c>
      <c r="I8" s="20"/>
      <c r="J8" s="20"/>
      <c r="K8" s="20"/>
      <c r="L8" s="64"/>
    </row>
    <row r="9" customFormat="false" ht="15.75" hidden="false" customHeight="false" outlineLevel="0" collapsed="false">
      <c r="A9" s="58" t="n">
        <v>6</v>
      </c>
      <c r="B9" s="62"/>
      <c r="C9" s="48" t="s">
        <v>762</v>
      </c>
      <c r="D9" s="20" t="n">
        <v>25169</v>
      </c>
      <c r="E9" s="27" t="s">
        <v>763</v>
      </c>
      <c r="F9" s="27" t="s">
        <v>764</v>
      </c>
      <c r="G9" s="27" t="s">
        <v>584</v>
      </c>
      <c r="H9" s="65" t="n">
        <v>36164</v>
      </c>
      <c r="I9" s="61"/>
      <c r="J9" s="20"/>
      <c r="K9" s="20"/>
      <c r="L9" s="48"/>
    </row>
    <row r="10" customFormat="false" ht="15.75" hidden="false" customHeight="false" outlineLevel="0" collapsed="false">
      <c r="A10" s="58" t="n">
        <v>7</v>
      </c>
      <c r="B10" s="59"/>
      <c r="C10" s="48" t="s">
        <v>765</v>
      </c>
      <c r="D10" s="27" t="n">
        <v>25170</v>
      </c>
      <c r="E10" s="27" t="s">
        <v>766</v>
      </c>
      <c r="F10" s="27" t="s">
        <v>767</v>
      </c>
      <c r="G10" s="27" t="s">
        <v>697</v>
      </c>
      <c r="H10" s="65" t="s">
        <v>768</v>
      </c>
      <c r="I10" s="20"/>
      <c r="J10" s="61"/>
      <c r="K10" s="61"/>
      <c r="L10" s="48"/>
    </row>
    <row r="11" customFormat="false" ht="15.75" hidden="false" customHeight="false" outlineLevel="0" collapsed="false">
      <c r="A11" s="58" t="n">
        <v>8</v>
      </c>
      <c r="B11" s="59"/>
      <c r="C11" s="48" t="s">
        <v>769</v>
      </c>
      <c r="D11" s="27" t="n">
        <v>25171</v>
      </c>
      <c r="E11" s="27" t="s">
        <v>143</v>
      </c>
      <c r="F11" s="27" t="s">
        <v>770</v>
      </c>
      <c r="G11" s="27" t="s">
        <v>584</v>
      </c>
      <c r="H11" s="65" t="n">
        <v>39060</v>
      </c>
      <c r="I11" s="61"/>
      <c r="J11" s="20"/>
      <c r="K11" s="20"/>
      <c r="L11" s="48"/>
    </row>
    <row r="12" customFormat="false" ht="15.75" hidden="false" customHeight="false" outlineLevel="0" collapsed="false">
      <c r="A12" s="58" t="n">
        <v>9</v>
      </c>
      <c r="B12" s="59"/>
      <c r="C12" s="80" t="s">
        <v>771</v>
      </c>
      <c r="D12" s="77" t="n">
        <v>25172</v>
      </c>
      <c r="E12" s="77" t="s">
        <v>772</v>
      </c>
      <c r="F12" s="77" t="s">
        <v>773</v>
      </c>
      <c r="G12" s="77" t="s">
        <v>584</v>
      </c>
      <c r="H12" s="78" t="n">
        <v>36872</v>
      </c>
      <c r="I12" s="20"/>
      <c r="J12" s="61"/>
      <c r="K12" s="61"/>
      <c r="L12" s="48"/>
    </row>
    <row r="13" customFormat="false" ht="15.75" hidden="false" customHeight="false" outlineLevel="0" collapsed="false">
      <c r="A13" s="58" t="n">
        <v>10</v>
      </c>
      <c r="B13" s="48"/>
      <c r="C13" s="48" t="s">
        <v>774</v>
      </c>
      <c r="D13" s="27" t="n">
        <v>25173</v>
      </c>
      <c r="E13" s="27" t="s">
        <v>775</v>
      </c>
      <c r="F13" s="27" t="s">
        <v>145</v>
      </c>
      <c r="G13" s="27" t="s">
        <v>617</v>
      </c>
      <c r="H13" s="65" t="s">
        <v>776</v>
      </c>
      <c r="I13" s="61"/>
      <c r="J13" s="20"/>
      <c r="K13" s="20"/>
      <c r="L13" s="48"/>
    </row>
    <row r="14" customFormat="false" ht="15.75" hidden="false" customHeight="false" outlineLevel="0" collapsed="false">
      <c r="A14" s="58" t="n">
        <v>11</v>
      </c>
      <c r="B14" s="80"/>
      <c r="C14" s="62" t="s">
        <v>777</v>
      </c>
      <c r="D14" s="61" t="n">
        <v>25146</v>
      </c>
      <c r="E14" s="61" t="s">
        <v>778</v>
      </c>
      <c r="F14" s="61" t="s">
        <v>779</v>
      </c>
      <c r="G14" s="61" t="s">
        <v>587</v>
      </c>
      <c r="H14" s="63" t="n">
        <v>39237</v>
      </c>
      <c r="J14" s="61"/>
      <c r="K14" s="61"/>
      <c r="L14" s="48"/>
    </row>
    <row r="15" customFormat="false" ht="15.75" hidden="false" customHeight="false" outlineLevel="0" collapsed="false">
      <c r="A15" s="58" t="n">
        <v>12</v>
      </c>
      <c r="B15" s="48"/>
      <c r="C15" s="48" t="s">
        <v>780</v>
      </c>
      <c r="D15" s="27" t="n">
        <v>25143</v>
      </c>
      <c r="E15" s="27" t="s">
        <v>781</v>
      </c>
      <c r="F15" s="27" t="s">
        <v>782</v>
      </c>
      <c r="G15" s="27"/>
      <c r="H15" s="65" t="s">
        <v>783</v>
      </c>
      <c r="J15" s="20"/>
      <c r="K15" s="20"/>
      <c r="L15" s="48"/>
    </row>
    <row r="16" customFormat="false" ht="15.75" hidden="false" customHeight="false" outlineLevel="0" collapsed="false">
      <c r="A16" s="58" t="n">
        <v>13</v>
      </c>
      <c r="C16" s="62" t="s">
        <v>784</v>
      </c>
      <c r="D16" s="24" t="n">
        <v>25175</v>
      </c>
      <c r="E16" s="24" t="s">
        <v>147</v>
      </c>
      <c r="F16" s="61" t="s">
        <v>785</v>
      </c>
      <c r="G16" s="61" t="s">
        <v>617</v>
      </c>
      <c r="H16" s="63" t="s">
        <v>786</v>
      </c>
      <c r="J16" s="61"/>
      <c r="K16" s="61"/>
      <c r="L16" s="48"/>
    </row>
    <row r="17" customFormat="false" ht="15.75" hidden="false" customHeight="false" outlineLevel="0" collapsed="false">
      <c r="A17" s="58" t="n">
        <v>14</v>
      </c>
      <c r="B17" s="62"/>
      <c r="C17" s="62" t="s">
        <v>787</v>
      </c>
      <c r="D17" s="38" t="n">
        <v>25176</v>
      </c>
      <c r="E17" s="38" t="s">
        <v>788</v>
      </c>
      <c r="F17" s="61"/>
      <c r="G17" s="61" t="s">
        <v>789</v>
      </c>
      <c r="H17" s="63" t="s">
        <v>790</v>
      </c>
      <c r="I17" s="61"/>
      <c r="J17" s="61"/>
      <c r="K17" s="61"/>
      <c r="L17" s="48"/>
    </row>
    <row r="18" customFormat="false" ht="15.75" hidden="false" customHeight="false" outlineLevel="0" collapsed="false">
      <c r="A18" s="58" t="n">
        <v>15</v>
      </c>
      <c r="B18" s="59"/>
      <c r="C18" s="59" t="s">
        <v>345</v>
      </c>
      <c r="D18" s="20" t="n">
        <v>25182</v>
      </c>
      <c r="E18" s="20" t="s">
        <v>151</v>
      </c>
      <c r="F18" s="20" t="s">
        <v>791</v>
      </c>
      <c r="G18" s="20" t="s">
        <v>584</v>
      </c>
      <c r="H18" s="60" t="n">
        <v>38751</v>
      </c>
      <c r="I18" s="64"/>
      <c r="J18" s="64"/>
      <c r="K18" s="64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</row>
    <row r="19" customFormat="false" ht="18.55" hidden="false" customHeight="false" outlineLevel="0" collapsed="false">
      <c r="A19" s="58" t="n">
        <v>16</v>
      </c>
      <c r="B19" s="59"/>
      <c r="C19" s="44" t="s">
        <v>792</v>
      </c>
      <c r="D19" s="27" t="n">
        <v>25124</v>
      </c>
      <c r="E19" s="27" t="s">
        <v>793</v>
      </c>
      <c r="F19" s="27" t="s">
        <v>794</v>
      </c>
      <c r="G19" s="81" t="s">
        <v>795</v>
      </c>
      <c r="H19" s="65" t="s">
        <v>796</v>
      </c>
      <c r="I19" s="64"/>
      <c r="J19" s="64"/>
      <c r="K19" s="64"/>
      <c r="L19" s="48"/>
    </row>
    <row r="20" customFormat="false" ht="15.75" hidden="false" customHeight="false" outlineLevel="0" collapsed="false">
      <c r="A20" s="58" t="n">
        <v>17</v>
      </c>
      <c r="B20" s="62"/>
      <c r="C20" s="48" t="s">
        <v>797</v>
      </c>
      <c r="D20" s="20" t="n">
        <v>25167</v>
      </c>
      <c r="E20" s="27" t="s">
        <v>798</v>
      </c>
      <c r="F20" s="27" t="s">
        <v>760</v>
      </c>
      <c r="G20" s="27" t="s">
        <v>617</v>
      </c>
      <c r="H20" s="65" t="n">
        <v>37110</v>
      </c>
      <c r="I20" s="72"/>
      <c r="J20" s="72"/>
      <c r="K20" s="72"/>
      <c r="L20" s="48"/>
    </row>
    <row r="21" customFormat="false" ht="18.75" hidden="false" customHeight="true" outlineLevel="0" collapsed="false">
      <c r="A21" s="58" t="n">
        <v>18</v>
      </c>
      <c r="B21" s="28"/>
      <c r="C21" s="48" t="s">
        <v>799</v>
      </c>
      <c r="D21" s="20" t="n">
        <v>25168</v>
      </c>
      <c r="E21" s="27" t="s">
        <v>800</v>
      </c>
      <c r="F21" s="27" t="s">
        <v>801</v>
      </c>
      <c r="G21" s="45"/>
      <c r="H21" s="65" t="s">
        <v>802</v>
      </c>
      <c r="I21" s="24"/>
      <c r="J21" s="82"/>
      <c r="K21" s="83"/>
      <c r="L21" s="84"/>
      <c r="M21" s="20"/>
      <c r="N21" s="29"/>
      <c r="O21" s="20"/>
      <c r="P21" s="29"/>
      <c r="Q21" s="29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customFormat="false" ht="18.75" hidden="false" customHeight="true" outlineLevel="0" collapsed="false">
      <c r="A22" s="58" t="n">
        <v>19</v>
      </c>
      <c r="B22" s="28"/>
      <c r="C22" s="48" t="s">
        <v>803</v>
      </c>
      <c r="D22" s="27" t="n">
        <v>25174</v>
      </c>
      <c r="E22" s="27" t="s">
        <v>804</v>
      </c>
      <c r="F22" s="27" t="s">
        <v>805</v>
      </c>
      <c r="G22" s="27" t="s">
        <v>587</v>
      </c>
      <c r="H22" s="65" t="n">
        <v>35065</v>
      </c>
      <c r="I22" s="24"/>
      <c r="J22" s="82"/>
      <c r="K22" s="83"/>
      <c r="L22" s="84"/>
      <c r="M22" s="20"/>
      <c r="N22" s="29"/>
      <c r="O22" s="20"/>
      <c r="P22" s="29"/>
      <c r="Q22" s="29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customFormat="false" ht="18.75" hidden="false" customHeight="true" outlineLevel="0" collapsed="false">
      <c r="A23" s="58" t="n">
        <v>20</v>
      </c>
      <c r="B23" s="28"/>
      <c r="C23" s="48" t="s">
        <v>806</v>
      </c>
      <c r="D23" s="27"/>
      <c r="E23" s="27" t="s">
        <v>807</v>
      </c>
      <c r="F23" s="27"/>
      <c r="G23" s="27" t="s">
        <v>587</v>
      </c>
      <c r="H23" s="65" t="n">
        <v>37980</v>
      </c>
      <c r="I23" s="24" t="s">
        <v>808</v>
      </c>
      <c r="J23" s="82"/>
      <c r="K23" s="83"/>
      <c r="L23" s="84"/>
      <c r="M23" s="20"/>
      <c r="N23" s="29"/>
      <c r="O23" s="20"/>
      <c r="P23" s="29"/>
      <c r="Q23" s="29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customFormat="false" ht="18.75" hidden="false" customHeight="true" outlineLevel="0" collapsed="false">
      <c r="A24" s="58"/>
      <c r="B24" s="28"/>
      <c r="C24" s="48"/>
      <c r="D24" s="27"/>
      <c r="E24" s="27"/>
      <c r="F24" s="27"/>
      <c r="G24" s="27"/>
      <c r="H24" s="45"/>
      <c r="I24" s="24"/>
      <c r="J24" s="82"/>
      <c r="K24" s="83"/>
      <c r="L24" s="84"/>
      <c r="M24" s="20"/>
      <c r="N24" s="29"/>
      <c r="O24" s="20"/>
      <c r="P24" s="29"/>
      <c r="Q24" s="29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customFormat="false" ht="15.75" hidden="false" customHeight="false" outlineLevel="0" collapsed="false">
      <c r="C25" s="48"/>
      <c r="D25" s="27"/>
      <c r="E25" s="27"/>
      <c r="F25" s="27"/>
      <c r="G25" s="27"/>
      <c r="H25" s="27"/>
    </row>
    <row r="26" customFormat="false" ht="15.75" hidden="false" customHeight="false" outlineLevel="0" collapsed="false">
      <c r="D26" s="74"/>
      <c r="E26" s="74"/>
      <c r="F26" s="74"/>
      <c r="G26" s="74"/>
      <c r="H26" s="74"/>
    </row>
    <row r="27" customFormat="false" ht="15.75" hidden="false" customHeight="false" outlineLevel="0" collapsed="false">
      <c r="D27" s="74"/>
      <c r="E27" s="74"/>
      <c r="F27" s="74"/>
      <c r="G27" s="74"/>
      <c r="H27" s="74"/>
    </row>
    <row r="28" customFormat="false" ht="15.75" hidden="false" customHeight="false" outlineLevel="0" collapsed="false">
      <c r="D28" s="74"/>
      <c r="E28" s="74"/>
      <c r="F28" s="74"/>
      <c r="G28" s="74"/>
      <c r="H28" s="74"/>
    </row>
  </sheetData>
  <mergeCells count="3">
    <mergeCell ref="A1:K1"/>
    <mergeCell ref="A2:F2"/>
    <mergeCell ref="G2:K2"/>
  </mergeCells>
  <conditionalFormatting sqref="A1:K1">
    <cfRule type="expression" priority="2" aboveAverage="0" equalAverage="0" bottom="0" percent="0" rank="0" text="" dxfId="9">
      <formula>LEN(TRIM(A1))&gt;0</formula>
    </cfRule>
  </conditionalFormatting>
  <conditionalFormatting sqref="B3:C3">
    <cfRule type="colorScale" priority="3">
      <colorScale>
        <cfvo type="min" val="0"/>
        <cfvo type="max" val="0"/>
        <color rgb="FF3C78D8"/>
        <color rgb="FFFFFFFF"/>
      </colorScale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9.75"/>
    <col collapsed="false" customWidth="true" hidden="false" outlineLevel="0" max="4" min="4" style="0" width="17.5"/>
    <col collapsed="false" customWidth="true" hidden="false" outlineLevel="0" max="5" min="5" style="0" width="19.38"/>
    <col collapsed="false" customWidth="true" hidden="false" outlineLevel="0" max="6" min="6" style="0" width="22.88"/>
    <col collapsed="false" customWidth="true" hidden="false" outlineLevel="0" max="7" min="7" style="0" width="18.63"/>
    <col collapsed="false" customWidth="true" hidden="false" outlineLevel="0" max="8" min="8" style="0" width="17.13"/>
    <col collapsed="false" customWidth="true" hidden="false" outlineLevel="0" max="10" min="9" style="0" width="24.13"/>
    <col collapsed="false" customWidth="true" hidden="false" outlineLevel="0" max="11" min="11" style="0" width="18"/>
  </cols>
  <sheetData>
    <row r="1" customFormat="false" ht="25.35" hidden="false" customHeight="false" outlineLevel="0" collapsed="false">
      <c r="A1" s="37" t="s">
        <v>809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17.35" hidden="false" customHeight="false" outlineLevel="0" collapsed="false">
      <c r="A2" s="6" t="s">
        <v>810</v>
      </c>
      <c r="B2" s="6"/>
      <c r="C2" s="6"/>
      <c r="D2" s="6"/>
      <c r="E2" s="6"/>
      <c r="F2" s="6"/>
      <c r="G2" s="6" t="s">
        <v>811</v>
      </c>
      <c r="H2" s="6"/>
      <c r="I2" s="6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7.35" hidden="false" customHeight="false" outlineLevel="0" collapsed="false">
      <c r="A3" s="7" t="s">
        <v>48</v>
      </c>
      <c r="B3" s="8" t="s">
        <v>4</v>
      </c>
      <c r="C3" s="8" t="s">
        <v>686</v>
      </c>
      <c r="D3" s="9" t="s">
        <v>49</v>
      </c>
      <c r="E3" s="8" t="s">
        <v>5</v>
      </c>
      <c r="F3" s="8" t="s">
        <v>6</v>
      </c>
      <c r="G3" s="8" t="s">
        <v>50</v>
      </c>
      <c r="H3" s="8" t="s">
        <v>51</v>
      </c>
      <c r="I3" s="8" t="s">
        <v>577</v>
      </c>
      <c r="J3" s="9" t="s">
        <v>52</v>
      </c>
      <c r="K3" s="8" t="s">
        <v>53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5.75" hidden="false" customHeight="false" outlineLevel="0" collapsed="false">
      <c r="A4" s="85" t="n">
        <v>1</v>
      </c>
      <c r="B4" s="14" t="s">
        <v>812</v>
      </c>
      <c r="C4" s="14"/>
      <c r="D4" s="14" t="n">
        <v>25178</v>
      </c>
      <c r="E4" s="14" t="s">
        <v>813</v>
      </c>
      <c r="F4" s="14" t="s">
        <v>150</v>
      </c>
      <c r="G4" s="86"/>
      <c r="H4" s="14"/>
      <c r="I4" s="14" t="s">
        <v>587</v>
      </c>
      <c r="J4" s="14"/>
      <c r="K4" s="14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customFormat="false" ht="15.75" hidden="false" customHeight="false" outlineLevel="0" collapsed="false">
      <c r="A5" s="85" t="n">
        <v>2</v>
      </c>
      <c r="B5" s="38" t="s">
        <v>814</v>
      </c>
      <c r="C5" s="38"/>
      <c r="D5" s="38" t="n">
        <v>25179</v>
      </c>
      <c r="E5" s="38" t="s">
        <v>815</v>
      </c>
      <c r="F5" s="38" t="s">
        <v>815</v>
      </c>
      <c r="G5" s="87" t="s">
        <v>816</v>
      </c>
      <c r="H5" s="38"/>
      <c r="I5" s="38"/>
      <c r="J5" s="12"/>
      <c r="K5" s="12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customFormat="false" ht="15.75" hidden="false" customHeight="false" outlineLevel="0" collapsed="false">
      <c r="A6" s="85" t="n">
        <v>3</v>
      </c>
      <c r="J6" s="14"/>
      <c r="K6" s="14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customFormat="false" ht="15.75" hidden="false" customHeight="false" outlineLevel="0" collapsed="false">
      <c r="A7" s="85" t="n">
        <v>4</v>
      </c>
      <c r="B7" s="14" t="s">
        <v>817</v>
      </c>
      <c r="C7" s="14"/>
      <c r="D7" s="14" t="n">
        <v>25186</v>
      </c>
      <c r="E7" s="14" t="s">
        <v>818</v>
      </c>
      <c r="F7" s="14" t="s">
        <v>819</v>
      </c>
      <c r="G7" s="86" t="s">
        <v>820</v>
      </c>
      <c r="H7" s="14"/>
      <c r="I7" s="14" t="s">
        <v>707</v>
      </c>
      <c r="J7" s="12"/>
      <c r="K7" s="12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customFormat="false" ht="15.75" hidden="false" customHeight="false" outlineLevel="0" collapsed="false">
      <c r="A8" s="85" t="n">
        <v>5</v>
      </c>
      <c r="B8" s="12" t="s">
        <v>821</v>
      </c>
      <c r="C8" s="12"/>
      <c r="D8" s="12" t="n">
        <v>25187</v>
      </c>
      <c r="E8" s="12" t="s">
        <v>155</v>
      </c>
      <c r="F8" s="12" t="s">
        <v>155</v>
      </c>
      <c r="G8" s="88" t="s">
        <v>822</v>
      </c>
      <c r="H8" s="12"/>
      <c r="I8" s="12" t="s">
        <v>584</v>
      </c>
      <c r="J8" s="14"/>
      <c r="K8" s="14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customFormat="false" ht="15.75" hidden="false" customHeight="false" outlineLevel="0" collapsed="false">
      <c r="A9" s="85" t="n">
        <v>6</v>
      </c>
      <c r="B9" s="14" t="s">
        <v>823</v>
      </c>
      <c r="C9" s="14"/>
      <c r="D9" s="14" t="n">
        <v>25188</v>
      </c>
      <c r="E9" s="14" t="s">
        <v>824</v>
      </c>
      <c r="F9" s="14" t="s">
        <v>825</v>
      </c>
      <c r="G9" s="86" t="n">
        <v>36351</v>
      </c>
      <c r="H9" s="14"/>
      <c r="I9" s="14" t="s">
        <v>587</v>
      </c>
      <c r="J9" s="12"/>
      <c r="K9" s="12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customFormat="false" ht="15.75" hidden="false" customHeight="false" outlineLevel="0" collapsed="false">
      <c r="A10" s="85" t="n">
        <v>7</v>
      </c>
      <c r="B10" s="14" t="s">
        <v>826</v>
      </c>
      <c r="C10" s="14"/>
      <c r="D10" s="14" t="n">
        <v>25180</v>
      </c>
      <c r="E10" s="14" t="s">
        <v>827</v>
      </c>
      <c r="F10" s="14" t="s">
        <v>828</v>
      </c>
      <c r="G10" s="86" t="s">
        <v>829</v>
      </c>
      <c r="H10" s="14"/>
      <c r="I10" s="14"/>
      <c r="J10" s="14"/>
      <c r="K10" s="14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customFormat="false" ht="15.75" hidden="false" customHeight="false" outlineLevel="0" collapsed="false">
      <c r="A11" s="85" t="n">
        <v>8</v>
      </c>
      <c r="B11" s="38" t="s">
        <v>830</v>
      </c>
      <c r="C11" s="38"/>
      <c r="D11" s="38" t="n">
        <v>25189</v>
      </c>
      <c r="E11" s="38" t="s">
        <v>831</v>
      </c>
      <c r="F11" s="38" t="s">
        <v>832</v>
      </c>
      <c r="G11" s="87" t="n">
        <v>36225</v>
      </c>
      <c r="H11" s="38"/>
      <c r="I11" s="38" t="s">
        <v>697</v>
      </c>
      <c r="J11" s="12"/>
      <c r="K11" s="12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customFormat="false" ht="15.75" hidden="false" customHeight="false" outlineLevel="0" collapsed="false">
      <c r="A12" s="85" t="n">
        <v>9</v>
      </c>
      <c r="B12" s="38" t="s">
        <v>833</v>
      </c>
      <c r="C12" s="38"/>
      <c r="D12" s="38" t="n">
        <v>25190</v>
      </c>
      <c r="E12" s="38" t="s">
        <v>159</v>
      </c>
      <c r="F12" s="38"/>
      <c r="G12" s="87" t="n">
        <v>35431</v>
      </c>
      <c r="H12" s="38"/>
      <c r="I12" s="38" t="s">
        <v>617</v>
      </c>
      <c r="J12" s="14"/>
      <c r="K12" s="14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customFormat="false" ht="15.75" hidden="false" customHeight="false" outlineLevel="0" collapsed="false">
      <c r="A13" s="85" t="n">
        <v>10</v>
      </c>
      <c r="B13" s="38" t="s">
        <v>834</v>
      </c>
      <c r="C13" s="38"/>
      <c r="D13" s="38" t="n">
        <v>25193</v>
      </c>
      <c r="E13" s="38" t="s">
        <v>165</v>
      </c>
      <c r="F13" s="38" t="s">
        <v>835</v>
      </c>
      <c r="G13" s="87" t="n">
        <v>37538</v>
      </c>
      <c r="H13" s="38"/>
      <c r="I13" s="38" t="s">
        <v>836</v>
      </c>
      <c r="J13" s="14"/>
      <c r="K13" s="14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customFormat="false" ht="15.75" hidden="false" customHeight="false" outlineLevel="0" collapsed="false">
      <c r="A14" s="85" t="n">
        <v>11</v>
      </c>
      <c r="B14" s="38" t="s">
        <v>672</v>
      </c>
      <c r="C14" s="38"/>
      <c r="D14" s="38" t="n">
        <v>25128</v>
      </c>
      <c r="E14" s="38" t="s">
        <v>673</v>
      </c>
      <c r="F14" s="38" t="s">
        <v>674</v>
      </c>
      <c r="G14" s="87" t="n">
        <v>38904</v>
      </c>
      <c r="H14" s="14"/>
      <c r="I14" s="14" t="s">
        <v>617</v>
      </c>
      <c r="J14" s="12"/>
      <c r="K14" s="12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customFormat="false" ht="15.75" hidden="false" customHeight="false" outlineLevel="0" collapsed="false">
      <c r="A15" s="85" t="n">
        <v>12</v>
      </c>
      <c r="B15" s="38" t="s">
        <v>837</v>
      </c>
      <c r="C15" s="38"/>
      <c r="D15" s="38" t="n">
        <v>25192</v>
      </c>
      <c r="E15" s="38" t="s">
        <v>161</v>
      </c>
      <c r="F15" s="38"/>
      <c r="G15" s="87" t="n">
        <v>38089</v>
      </c>
      <c r="H15" s="38"/>
      <c r="I15" s="38"/>
      <c r="J15" s="14"/>
      <c r="K15" s="14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customFormat="false" ht="15.75" hidden="false" customHeight="false" outlineLevel="0" collapsed="false">
      <c r="A16" s="85" t="n">
        <v>13</v>
      </c>
      <c r="B16" s="38" t="s">
        <v>838</v>
      </c>
      <c r="C16" s="38"/>
      <c r="D16" s="38" t="n">
        <v>25191</v>
      </c>
      <c r="E16" s="38" t="s">
        <v>163</v>
      </c>
      <c r="F16" s="38" t="s">
        <v>839</v>
      </c>
      <c r="G16" s="87" t="s">
        <v>840</v>
      </c>
      <c r="H16" s="38"/>
      <c r="I16" s="38" t="s">
        <v>697</v>
      </c>
      <c r="J16" s="12"/>
      <c r="K16" s="12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customFormat="false" ht="15.75" hidden="false" customHeight="false" outlineLevel="0" collapsed="false">
      <c r="A17" s="85" t="n">
        <v>14</v>
      </c>
      <c r="B17" s="38" t="s">
        <v>841</v>
      </c>
      <c r="C17" s="38"/>
      <c r="D17" s="38" t="n">
        <v>25185</v>
      </c>
      <c r="E17" s="38" t="s">
        <v>615</v>
      </c>
      <c r="F17" s="38" t="s">
        <v>616</v>
      </c>
      <c r="G17" s="87" t="s">
        <v>842</v>
      </c>
      <c r="H17" s="38"/>
      <c r="I17" s="38" t="s">
        <v>617</v>
      </c>
      <c r="J17" s="14"/>
      <c r="K17" s="14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customFormat="false" ht="15.75" hidden="false" customHeight="false" outlineLevel="0" collapsed="false">
      <c r="A18" s="85" t="n">
        <v>15</v>
      </c>
      <c r="B18" s="14" t="s">
        <v>843</v>
      </c>
      <c r="C18" s="14"/>
      <c r="D18" s="14" t="n">
        <v>25218</v>
      </c>
      <c r="E18" s="14" t="s">
        <v>193</v>
      </c>
      <c r="F18" s="14" t="s">
        <v>844</v>
      </c>
      <c r="G18" s="14" t="s">
        <v>845</v>
      </c>
      <c r="H18" s="14"/>
      <c r="I18" s="14" t="s">
        <v>584</v>
      </c>
      <c r="J18" s="12"/>
      <c r="K18" s="12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customFormat="false" ht="15.75" hidden="false" customHeight="false" outlineLevel="0" collapsed="false">
      <c r="A19" s="85" t="n">
        <v>16</v>
      </c>
      <c r="J19" s="14"/>
      <c r="K19" s="14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customFormat="false" ht="15.75" hidden="false" customHeight="false" outlineLevel="0" collapsed="false">
      <c r="A20" s="85" t="n">
        <v>17</v>
      </c>
      <c r="B20" s="12"/>
      <c r="C20" s="12"/>
      <c r="D20" s="12"/>
      <c r="E20" s="12"/>
      <c r="F20" s="12"/>
      <c r="G20" s="88"/>
      <c r="H20" s="12"/>
      <c r="I20" s="12"/>
      <c r="J20" s="12"/>
      <c r="K20" s="12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customFormat="false" ht="15.75" hidden="false" customHeight="false" outlineLevel="0" collapsed="false">
      <c r="A21" s="85" t="n">
        <v>18</v>
      </c>
      <c r="B21" s="14"/>
      <c r="C21" s="14"/>
      <c r="D21" s="14"/>
      <c r="E21" s="14"/>
      <c r="F21" s="14"/>
      <c r="G21" s="86"/>
      <c r="H21" s="14"/>
      <c r="I21" s="14"/>
      <c r="J21" s="14"/>
      <c r="K21" s="14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customFormat="false" ht="15.75" hidden="false" customHeight="false" outlineLevel="0" collapsed="false">
      <c r="A22" s="85" t="n">
        <v>19</v>
      </c>
      <c r="B22" s="12"/>
      <c r="C22" s="12"/>
      <c r="D22" s="12"/>
      <c r="E22" s="12"/>
      <c r="F22" s="12"/>
      <c r="G22" s="88"/>
      <c r="H22" s="12"/>
      <c r="I22" s="12"/>
      <c r="J22" s="12"/>
      <c r="K22" s="12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customFormat="false" ht="15.75" hidden="false" customHeight="false" outlineLevel="0" collapsed="false">
      <c r="A23" s="43"/>
      <c r="B23" s="38"/>
      <c r="C23" s="38"/>
      <c r="D23" s="38"/>
      <c r="E23" s="38"/>
      <c r="F23" s="38"/>
      <c r="G23" s="87"/>
      <c r="H23" s="38"/>
      <c r="I23" s="38"/>
      <c r="J23" s="14"/>
      <c r="K23" s="14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customFormat="false" ht="15.75" hidden="false" customHeight="false" outlineLevel="0" collapsed="false">
      <c r="A24" s="47"/>
      <c r="B24" s="12"/>
      <c r="C24" s="12"/>
      <c r="D24" s="12"/>
      <c r="E24" s="12"/>
      <c r="F24" s="12"/>
      <c r="G24" s="88"/>
      <c r="H24" s="12"/>
      <c r="I24" s="12"/>
      <c r="J24" s="12"/>
      <c r="K24" s="12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customFormat="false" ht="15.75" hidden="false" customHeight="false" outlineLevel="0" collapsed="false">
      <c r="A25" s="46"/>
      <c r="B25" s="14"/>
      <c r="C25" s="14"/>
      <c r="D25" s="14"/>
      <c r="E25" s="14"/>
      <c r="F25" s="14"/>
      <c r="G25" s="86"/>
      <c r="H25" s="14"/>
      <c r="I25" s="14"/>
      <c r="J25" s="14"/>
      <c r="K25" s="14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customFormat="false" ht="15.75" hidden="false" customHeight="false" outlineLevel="0" collapsed="false">
      <c r="A26" s="43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customFormat="false" ht="15.75" hidden="false" customHeight="false" outlineLevel="0" collapsed="false">
      <c r="A27" s="5"/>
      <c r="B27" s="3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15.75" hidden="false" customHeight="false" outlineLevel="0" collapsed="false">
      <c r="A28" s="5"/>
      <c r="B28" s="14"/>
      <c r="C28" s="38"/>
      <c r="D28" s="38"/>
      <c r="E28" s="38"/>
      <c r="F28" s="38"/>
      <c r="G28" s="14"/>
      <c r="H28" s="14"/>
      <c r="I28" s="38"/>
      <c r="J28" s="38"/>
      <c r="K28" s="38"/>
      <c r="L28" s="38"/>
      <c r="M28" s="38"/>
      <c r="N28" s="38"/>
      <c r="O28" s="14"/>
      <c r="P28" s="38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</sheetData>
  <mergeCells count="3">
    <mergeCell ref="A1:K1"/>
    <mergeCell ref="A2:F2"/>
    <mergeCell ref="G2:K2"/>
  </mergeCells>
  <dataValidations count="1">
    <dataValidation allowBlank="true" errorStyle="stop" operator="between" showDropDown="true" showErrorMessage="false" showInputMessage="false" sqref="A24:A25" type="custom">
      <formula1>OR(NOT(ISERROR(DATEVALUE(A24))), AND(ISNUMBER(A24), LEFT(CELL("format", A24))="D"))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17"/>
    <col collapsed="false" customWidth="true" hidden="false" outlineLevel="0" max="3" min="3" style="0" width="35.89"/>
    <col collapsed="false" customWidth="true" hidden="false" outlineLevel="0" max="4" min="4" style="0" width="25"/>
    <col collapsed="false" customWidth="true" hidden="false" outlineLevel="0" max="5" min="5" style="0" width="28.88"/>
    <col collapsed="false" customWidth="true" hidden="false" outlineLevel="0" max="6" min="6" style="0" width="17.88"/>
    <col collapsed="false" customWidth="true" hidden="false" outlineLevel="0" max="10" min="7" style="0" width="24.75"/>
  </cols>
  <sheetData>
    <row r="1" customFormat="false" ht="25.35" hidden="false" customHeight="false" outlineLevel="0" collapsed="false">
      <c r="A1" s="37" t="s">
        <v>846</v>
      </c>
      <c r="B1" s="37"/>
      <c r="C1" s="37"/>
      <c r="D1" s="37"/>
      <c r="E1" s="37"/>
      <c r="F1" s="37"/>
      <c r="G1" s="37"/>
      <c r="H1" s="37"/>
      <c r="I1" s="37"/>
      <c r="J1" s="3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7.35" hidden="false" customHeight="false" outlineLevel="0" collapsed="false">
      <c r="A2" s="6" t="s">
        <v>847</v>
      </c>
      <c r="B2" s="6"/>
      <c r="C2" s="6"/>
      <c r="D2" s="6"/>
      <c r="E2" s="6"/>
      <c r="F2" s="6" t="s">
        <v>811</v>
      </c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7.35" hidden="false" customHeight="false" outlineLevel="0" collapsed="false">
      <c r="A3" s="89" t="s">
        <v>48</v>
      </c>
      <c r="B3" s="90" t="s">
        <v>49</v>
      </c>
      <c r="C3" s="90" t="s">
        <v>4</v>
      </c>
      <c r="D3" s="90" t="s">
        <v>5</v>
      </c>
      <c r="E3" s="90" t="s">
        <v>6</v>
      </c>
      <c r="F3" s="90" t="s">
        <v>50</v>
      </c>
      <c r="G3" s="90" t="s">
        <v>577</v>
      </c>
      <c r="H3" s="90" t="s">
        <v>51</v>
      </c>
      <c r="I3" s="90" t="s">
        <v>52</v>
      </c>
      <c r="J3" s="90" t="s">
        <v>53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5.75" hidden="false" customHeight="false" outlineLevel="0" collapsed="false">
      <c r="A4" s="14" t="n">
        <v>1</v>
      </c>
      <c r="B4" s="14" t="n">
        <v>25197</v>
      </c>
      <c r="C4" s="14" t="s">
        <v>170</v>
      </c>
      <c r="D4" s="14" t="s">
        <v>171</v>
      </c>
      <c r="E4" s="14" t="s">
        <v>848</v>
      </c>
      <c r="F4" s="86" t="n">
        <v>38852</v>
      </c>
      <c r="G4" s="14"/>
      <c r="H4" s="14"/>
      <c r="I4" s="14"/>
      <c r="J4" s="1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customFormat="false" ht="15.75" hidden="false" customHeight="false" outlineLevel="0" collapsed="false">
      <c r="A5" s="91" t="n">
        <v>2</v>
      </c>
      <c r="B5" s="14" t="n">
        <v>25199</v>
      </c>
      <c r="C5" s="14" t="s">
        <v>172</v>
      </c>
      <c r="D5" s="14" t="s">
        <v>173</v>
      </c>
      <c r="E5" s="14" t="s">
        <v>849</v>
      </c>
      <c r="F5" s="86" t="n">
        <v>38574</v>
      </c>
      <c r="G5" s="14" t="s">
        <v>617</v>
      </c>
      <c r="I5" s="91"/>
      <c r="J5" s="91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customFormat="false" ht="15.75" hidden="false" customHeight="false" outlineLevel="0" collapsed="false">
      <c r="A6" s="14" t="n">
        <v>3</v>
      </c>
      <c r="B6" s="91" t="n">
        <v>25200</v>
      </c>
      <c r="C6" s="91" t="s">
        <v>850</v>
      </c>
      <c r="D6" s="91" t="s">
        <v>851</v>
      </c>
      <c r="E6" s="91" t="s">
        <v>852</v>
      </c>
      <c r="F6" s="92" t="n">
        <v>38935</v>
      </c>
      <c r="G6" s="14" t="s">
        <v>697</v>
      </c>
      <c r="H6" s="14"/>
      <c r="I6" s="14"/>
      <c r="J6" s="1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customFormat="false" ht="15.75" hidden="false" customHeight="false" outlineLevel="0" collapsed="false">
      <c r="A7" s="91" t="n">
        <v>4</v>
      </c>
      <c r="B7" s="14" t="n">
        <v>25205</v>
      </c>
      <c r="C7" s="38" t="s">
        <v>853</v>
      </c>
      <c r="D7" s="14" t="s">
        <v>854</v>
      </c>
      <c r="E7" s="14" t="s">
        <v>855</v>
      </c>
      <c r="F7" s="86" t="n">
        <v>37805</v>
      </c>
      <c r="G7" s="91" t="s">
        <v>587</v>
      </c>
      <c r="H7" s="91"/>
      <c r="I7" s="91"/>
      <c r="J7" s="91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customFormat="false" ht="15.75" hidden="false" customHeight="false" outlineLevel="0" collapsed="false">
      <c r="A8" s="14" t="n">
        <v>5</v>
      </c>
      <c r="B8" s="91" t="n">
        <v>25206</v>
      </c>
      <c r="C8" s="38" t="s">
        <v>176</v>
      </c>
      <c r="D8" s="91" t="s">
        <v>177</v>
      </c>
      <c r="E8" s="91" t="s">
        <v>856</v>
      </c>
      <c r="F8" s="92" t="n">
        <v>39387</v>
      </c>
      <c r="G8" s="91"/>
      <c r="H8" s="14"/>
      <c r="I8" s="14"/>
      <c r="J8" s="14"/>
      <c r="K8" s="14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customFormat="false" ht="15.75" hidden="false" customHeight="false" outlineLevel="0" collapsed="false">
      <c r="A9" s="91" t="n">
        <v>6</v>
      </c>
      <c r="B9" s="14" t="n">
        <v>25207</v>
      </c>
      <c r="C9" s="91" t="s">
        <v>857</v>
      </c>
      <c r="D9" s="14" t="s">
        <v>858</v>
      </c>
      <c r="E9" s="14"/>
      <c r="F9" s="86" t="n">
        <v>34618</v>
      </c>
      <c r="G9" s="14" t="s">
        <v>697</v>
      </c>
      <c r="H9" s="91"/>
      <c r="I9" s="91"/>
      <c r="J9" s="91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customFormat="false" ht="15.75" hidden="false" customHeight="false" outlineLevel="0" collapsed="false">
      <c r="A10" s="14" t="n">
        <v>7</v>
      </c>
      <c r="B10" s="91" t="n">
        <v>25208</v>
      </c>
      <c r="C10" s="91" t="s">
        <v>178</v>
      </c>
      <c r="D10" s="91" t="s">
        <v>179</v>
      </c>
      <c r="E10" s="91" t="s">
        <v>859</v>
      </c>
      <c r="F10" s="92" t="n">
        <v>37982</v>
      </c>
      <c r="G10" s="91" t="s">
        <v>587</v>
      </c>
      <c r="H10" s="14"/>
      <c r="I10" s="14"/>
      <c r="J10" s="1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customFormat="false" ht="15.75" hidden="false" customHeight="false" outlineLevel="0" collapsed="false">
      <c r="A11" s="91" t="n">
        <v>8</v>
      </c>
      <c r="B11" s="14" t="n">
        <v>25209</v>
      </c>
      <c r="C11" s="14" t="s">
        <v>180</v>
      </c>
      <c r="D11" s="14" t="s">
        <v>181</v>
      </c>
      <c r="E11" s="14" t="s">
        <v>530</v>
      </c>
      <c r="F11" s="86" t="n">
        <v>37622</v>
      </c>
      <c r="G11" s="14"/>
      <c r="H11" s="91"/>
      <c r="I11" s="91"/>
      <c r="J11" s="91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customFormat="false" ht="15.75" hidden="false" customHeight="false" outlineLevel="0" collapsed="false">
      <c r="A12" s="14" t="n">
        <v>9</v>
      </c>
      <c r="B12" s="14" t="n">
        <v>25210</v>
      </c>
      <c r="C12" s="91" t="s">
        <v>182</v>
      </c>
      <c r="D12" s="91" t="s">
        <v>183</v>
      </c>
      <c r="E12" s="91" t="s">
        <v>860</v>
      </c>
      <c r="F12" s="92" t="n">
        <v>36838</v>
      </c>
      <c r="G12" s="14" t="s">
        <v>617</v>
      </c>
      <c r="H12" s="14"/>
      <c r="I12" s="14"/>
      <c r="J12" s="1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customFormat="false" ht="15.75" hidden="false" customHeight="false" outlineLevel="0" collapsed="false">
      <c r="A13" s="91" t="n">
        <v>10</v>
      </c>
      <c r="B13" s="14" t="n">
        <v>25211</v>
      </c>
      <c r="C13" s="14" t="s">
        <v>861</v>
      </c>
      <c r="D13" s="14" t="s">
        <v>862</v>
      </c>
      <c r="E13" s="14" t="s">
        <v>863</v>
      </c>
      <c r="F13" s="86" t="n">
        <v>39114</v>
      </c>
      <c r="G13" s="14"/>
      <c r="H13" s="91"/>
      <c r="I13" s="91"/>
      <c r="J13" s="91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customFormat="false" ht="15.75" hidden="false" customHeight="false" outlineLevel="0" collapsed="false">
      <c r="A14" s="14" t="n">
        <v>11</v>
      </c>
      <c r="B14" s="14" t="n">
        <v>25212</v>
      </c>
      <c r="C14" s="91" t="s">
        <v>864</v>
      </c>
      <c r="D14" s="91" t="s">
        <v>865</v>
      </c>
      <c r="E14" s="91" t="s">
        <v>866</v>
      </c>
      <c r="F14" s="92" t="n">
        <v>38069</v>
      </c>
      <c r="G14" s="91"/>
      <c r="H14" s="14"/>
      <c r="I14" s="14"/>
      <c r="J14" s="1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customFormat="false" ht="15.75" hidden="false" customHeight="false" outlineLevel="0" collapsed="false">
      <c r="A15" s="91" t="n">
        <v>12</v>
      </c>
      <c r="B15" s="14" t="n">
        <v>25213</v>
      </c>
      <c r="C15" s="14" t="s">
        <v>184</v>
      </c>
      <c r="D15" s="14" t="s">
        <v>185</v>
      </c>
      <c r="E15" s="14" t="s">
        <v>867</v>
      </c>
      <c r="F15" s="86" t="n">
        <v>39037</v>
      </c>
      <c r="G15" s="91" t="s">
        <v>587</v>
      </c>
      <c r="H15" s="91"/>
      <c r="I15" s="91"/>
      <c r="J15" s="9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customFormat="false" ht="15.75" hidden="false" customHeight="false" outlineLevel="0" collapsed="false">
      <c r="A16" s="14" t="n">
        <v>13</v>
      </c>
      <c r="B16" s="14" t="n">
        <v>25214</v>
      </c>
      <c r="C16" s="91" t="s">
        <v>186</v>
      </c>
      <c r="D16" s="91" t="s">
        <v>187</v>
      </c>
      <c r="E16" s="91" t="s">
        <v>868</v>
      </c>
      <c r="F16" s="92" t="n">
        <v>38247</v>
      </c>
      <c r="G16" s="14" t="s">
        <v>617</v>
      </c>
      <c r="H16" s="14"/>
      <c r="I16" s="14"/>
      <c r="J16" s="1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customFormat="false" ht="15.75" hidden="false" customHeight="false" outlineLevel="0" collapsed="false">
      <c r="A17" s="91" t="n">
        <v>14</v>
      </c>
      <c r="B17" s="14" t="n">
        <v>25215</v>
      </c>
      <c r="C17" s="14" t="s">
        <v>188</v>
      </c>
      <c r="D17" s="14" t="s">
        <v>189</v>
      </c>
      <c r="E17" s="14" t="s">
        <v>869</v>
      </c>
      <c r="F17" s="86" t="n">
        <v>39142</v>
      </c>
      <c r="G17" s="14" t="s">
        <v>584</v>
      </c>
      <c r="H17" s="91"/>
      <c r="I17" s="91"/>
      <c r="J17" s="91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customFormat="false" ht="15.75" hidden="false" customHeight="false" outlineLevel="0" collapsed="false">
      <c r="A18" s="14" t="n">
        <v>15</v>
      </c>
      <c r="B18" s="14" t="n">
        <v>25216</v>
      </c>
      <c r="C18" s="91" t="s">
        <v>190</v>
      </c>
      <c r="D18" s="91" t="s">
        <v>191</v>
      </c>
      <c r="E18" s="91" t="s">
        <v>870</v>
      </c>
      <c r="F18" s="92" t="n">
        <v>37897</v>
      </c>
      <c r="G18" s="91" t="s">
        <v>587</v>
      </c>
      <c r="H18" s="14"/>
      <c r="I18" s="14"/>
      <c r="J18" s="1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customFormat="false" ht="15.75" hidden="false" customHeight="false" outlineLevel="0" collapsed="false">
      <c r="A19" s="91" t="n">
        <v>16</v>
      </c>
      <c r="B19" s="14" t="n">
        <v>25217</v>
      </c>
      <c r="C19" s="14" t="s">
        <v>871</v>
      </c>
      <c r="D19" s="14" t="s">
        <v>872</v>
      </c>
      <c r="E19" s="14"/>
      <c r="F19" s="86" t="n">
        <v>38710</v>
      </c>
      <c r="G19" s="14" t="s">
        <v>617</v>
      </c>
      <c r="H19" s="91"/>
      <c r="I19" s="91"/>
      <c r="J19" s="91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customFormat="false" ht="15.75" hidden="false" customHeight="false" outlineLevel="0" collapsed="false">
      <c r="A20" s="14" t="n">
        <v>17</v>
      </c>
      <c r="B20" s="24" t="n">
        <v>25230</v>
      </c>
      <c r="C20" s="24" t="s">
        <v>207</v>
      </c>
      <c r="D20" s="27" t="s">
        <v>208</v>
      </c>
      <c r="E20" s="27" t="s">
        <v>873</v>
      </c>
      <c r="F20" s="86" t="n">
        <v>39761</v>
      </c>
      <c r="G20" s="14" t="s">
        <v>584</v>
      </c>
      <c r="H20" s="14"/>
      <c r="I20" s="14"/>
      <c r="J20" s="1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customFormat="false" ht="15.75" hidden="false" customHeight="false" outlineLevel="0" collapsed="false">
      <c r="A21" s="91" t="n">
        <v>18</v>
      </c>
      <c r="B21" s="20" t="n">
        <v>25231</v>
      </c>
      <c r="C21" s="20" t="s">
        <v>209</v>
      </c>
      <c r="D21" s="91" t="s">
        <v>210</v>
      </c>
      <c r="E21" s="91" t="s">
        <v>874</v>
      </c>
      <c r="F21" s="86" t="n">
        <v>39492</v>
      </c>
      <c r="G21" s="14" t="s">
        <v>584</v>
      </c>
      <c r="H21" s="38"/>
      <c r="I21" s="1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customFormat="false" ht="15.75" hidden="false" customHeight="false" outlineLevel="0" collapsed="false">
      <c r="A22" s="14" t="n">
        <v>19</v>
      </c>
      <c r="H22" s="14"/>
      <c r="I22" s="14"/>
      <c r="J22" s="1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customFormat="false" ht="15.75" hidden="false" customHeight="false" outlineLevel="0" collapsed="false">
      <c r="A23" s="91" t="n">
        <v>20</v>
      </c>
      <c r="H23" s="91"/>
      <c r="I23" s="91"/>
      <c r="J23" s="91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customFormat="false" ht="15.75" hidden="false" customHeight="false" outlineLevel="0" collapsed="false">
      <c r="A24" s="14"/>
      <c r="B24" s="14"/>
      <c r="C24" s="14"/>
      <c r="D24" s="14"/>
      <c r="E24" s="14"/>
      <c r="F24" s="86"/>
      <c r="G24" s="14"/>
      <c r="H24" s="14"/>
      <c r="I24" s="14"/>
      <c r="J24" s="14"/>
      <c r="K24" s="38"/>
      <c r="L24" s="38" t="s">
        <v>55</v>
      </c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customFormat="false" ht="15.75" hidden="false" customHeight="false" outlineLevel="0" collapsed="false">
      <c r="A25" s="91"/>
      <c r="B25" s="91"/>
      <c r="C25" s="91"/>
      <c r="D25" s="91"/>
      <c r="E25" s="91"/>
      <c r="F25" s="92"/>
      <c r="G25" s="91"/>
      <c r="H25" s="91"/>
      <c r="I25" s="91"/>
      <c r="J25" s="91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customFormat="false" ht="15.75" hidden="false" customHeight="false" outlineLevel="0" collapsed="false">
      <c r="A26" s="14"/>
      <c r="B26" s="14"/>
      <c r="C26" s="14"/>
      <c r="D26" s="14"/>
      <c r="E26" s="14"/>
      <c r="F26" s="86"/>
      <c r="G26" s="14"/>
      <c r="H26" s="14"/>
      <c r="I26" s="14"/>
      <c r="J26" s="1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customFormat="false" ht="15.75" hidden="false" customHeight="false" outlineLevel="0" collapsed="false">
      <c r="A27" s="91"/>
      <c r="B27" s="91"/>
      <c r="C27" s="91"/>
      <c r="D27" s="91"/>
      <c r="E27" s="91"/>
      <c r="F27" s="92"/>
      <c r="G27" s="91"/>
      <c r="H27" s="91"/>
      <c r="I27" s="91"/>
      <c r="J27" s="91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customFormat="false" ht="15.7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 t="s">
        <v>56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4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customFormat="false" ht="15.75" hidden="false" customHeight="false" outlineLevel="0" collapsed="false">
      <c r="A33" s="5"/>
      <c r="B33" s="38"/>
      <c r="C33" s="38"/>
      <c r="D33" s="38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customFormat="false" ht="15.7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mergeCells count="3">
    <mergeCell ref="A1:J1"/>
    <mergeCell ref="A2:E2"/>
    <mergeCell ref="F2:J2"/>
  </mergeCells>
  <dataValidations count="1">
    <dataValidation allowBlank="true" errorStyle="stop" operator="between" showDropDown="true" showErrorMessage="true" showInputMessage="false" sqref="F4:F21 F24:F27" type="custom">
      <formula1>OR(NOT(ISERROR(DATEVALUE(F4))), AND(ISNUMBER(F4), LEFT(CELL("format", F4))="D"))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63"/>
    <col collapsed="false" customWidth="true" hidden="false" outlineLevel="0" max="2" min="2" style="0" width="17"/>
    <col collapsed="false" customWidth="true" hidden="false" outlineLevel="0" max="3" min="3" style="0" width="29.75"/>
    <col collapsed="false" customWidth="true" hidden="false" outlineLevel="0" max="4" min="4" style="0" width="21.63"/>
    <col collapsed="false" customWidth="true" hidden="false" outlineLevel="0" max="5" min="5" style="0" width="24.63"/>
    <col collapsed="false" customWidth="true" hidden="false" outlineLevel="0" max="6" min="6" style="0" width="20"/>
    <col collapsed="false" customWidth="true" hidden="false" outlineLevel="0" max="7" min="7" style="0" width="19.38"/>
    <col collapsed="false" customWidth="true" hidden="false" outlineLevel="0" max="8" min="8" style="0" width="23.63"/>
    <col collapsed="false" customWidth="true" hidden="false" outlineLevel="0" max="9" min="9" style="0" width="14.75"/>
  </cols>
  <sheetData>
    <row r="1" customFormat="false" ht="25.35" hidden="false" customHeight="false" outlineLevel="0" collapsed="false">
      <c r="A1" s="37" t="s">
        <v>875</v>
      </c>
      <c r="B1" s="37"/>
      <c r="C1" s="37"/>
      <c r="D1" s="37"/>
      <c r="E1" s="37"/>
      <c r="F1" s="37"/>
      <c r="G1" s="37"/>
      <c r="H1" s="37"/>
      <c r="I1" s="37"/>
    </row>
    <row r="2" customFormat="false" ht="17.35" hidden="false" customHeight="false" outlineLevel="0" collapsed="false">
      <c r="A2" s="6" t="s">
        <v>876</v>
      </c>
      <c r="B2" s="6"/>
      <c r="C2" s="6"/>
      <c r="D2" s="6"/>
      <c r="E2" s="6"/>
      <c r="F2" s="6" t="s">
        <v>811</v>
      </c>
      <c r="G2" s="6"/>
      <c r="H2" s="6"/>
      <c r="I2" s="6"/>
    </row>
    <row r="3" customFormat="false" ht="17.35" hidden="false" customHeight="false" outlineLevel="0" collapsed="false">
      <c r="A3" s="7" t="s">
        <v>48</v>
      </c>
      <c r="B3" s="8" t="s">
        <v>3</v>
      </c>
      <c r="C3" s="9" t="s">
        <v>877</v>
      </c>
      <c r="D3" s="8" t="s">
        <v>5</v>
      </c>
      <c r="E3" s="8" t="s">
        <v>6</v>
      </c>
      <c r="F3" s="8" t="s">
        <v>50</v>
      </c>
      <c r="G3" s="8" t="s">
        <v>577</v>
      </c>
      <c r="H3" s="9" t="s">
        <v>52</v>
      </c>
      <c r="I3" s="8" t="s">
        <v>53</v>
      </c>
    </row>
    <row r="4" customFormat="false" ht="15.75" hidden="false" customHeight="false" outlineLevel="0" collapsed="false">
      <c r="A4" s="10" t="n">
        <v>1</v>
      </c>
      <c r="B4" s="12" t="n">
        <v>25221</v>
      </c>
      <c r="C4" s="14" t="s">
        <v>878</v>
      </c>
      <c r="D4" s="93" t="s">
        <v>195</v>
      </c>
      <c r="E4" s="14" t="s">
        <v>195</v>
      </c>
      <c r="F4" s="92" t="n">
        <v>38888</v>
      </c>
      <c r="G4" s="13" t="s">
        <v>584</v>
      </c>
      <c r="H4" s="13"/>
      <c r="I4" s="13"/>
    </row>
    <row r="5" customFormat="false" ht="15.75" hidden="false" customHeight="false" outlineLevel="0" collapsed="false">
      <c r="A5" s="10" t="n">
        <v>3</v>
      </c>
      <c r="B5" s="12" t="n">
        <v>25226</v>
      </c>
      <c r="C5" s="12" t="s">
        <v>879</v>
      </c>
      <c r="D5" s="94" t="s">
        <v>202</v>
      </c>
      <c r="E5" s="94" t="s">
        <v>880</v>
      </c>
      <c r="F5" s="92" t="n">
        <v>38492</v>
      </c>
      <c r="G5" s="11" t="s">
        <v>584</v>
      </c>
      <c r="H5" s="13"/>
      <c r="I5" s="11"/>
    </row>
    <row r="6" customFormat="false" ht="15.75" hidden="false" customHeight="false" outlineLevel="0" collapsed="false">
      <c r="A6" s="10" t="n">
        <v>4</v>
      </c>
      <c r="B6" s="38" t="n">
        <v>25228</v>
      </c>
      <c r="C6" s="14" t="s">
        <v>881</v>
      </c>
      <c r="D6" s="95" t="s">
        <v>206</v>
      </c>
      <c r="E6" s="77" t="s">
        <v>882</v>
      </c>
      <c r="F6" s="92" t="n">
        <v>39084</v>
      </c>
      <c r="G6" s="11" t="s">
        <v>584</v>
      </c>
      <c r="H6" s="13"/>
      <c r="I6" s="13"/>
    </row>
    <row r="7" customFormat="false" ht="15.75" hidden="false" customHeight="false" outlineLevel="0" collapsed="false">
      <c r="A7" s="10" t="n">
        <v>5</v>
      </c>
      <c r="B7" s="14" t="n">
        <v>25229</v>
      </c>
      <c r="C7" s="14" t="s">
        <v>883</v>
      </c>
      <c r="D7" s="93" t="s">
        <v>884</v>
      </c>
      <c r="E7" s="93" t="s">
        <v>885</v>
      </c>
      <c r="F7" s="92" t="n">
        <v>37742</v>
      </c>
      <c r="G7" s="11" t="s">
        <v>587</v>
      </c>
      <c r="H7" s="13"/>
      <c r="I7" s="11"/>
    </row>
    <row r="8" customFormat="false" ht="15.75" hidden="false" customHeight="false" outlineLevel="0" collapsed="false">
      <c r="A8" s="10" t="n">
        <v>6</v>
      </c>
      <c r="B8" s="14" t="n">
        <v>25181</v>
      </c>
      <c r="C8" s="14" t="s">
        <v>886</v>
      </c>
      <c r="D8" s="14" t="s">
        <v>887</v>
      </c>
      <c r="E8" s="14" t="s">
        <v>887</v>
      </c>
      <c r="F8" s="86" t="s">
        <v>888</v>
      </c>
      <c r="G8" s="14" t="s">
        <v>617</v>
      </c>
      <c r="H8" s="13"/>
      <c r="I8" s="13"/>
    </row>
    <row r="9" customFormat="false" ht="15.75" hidden="false" customHeight="false" outlineLevel="0" collapsed="false">
      <c r="A9" s="10" t="n">
        <v>7</v>
      </c>
      <c r="B9" s="20" t="n">
        <v>26244</v>
      </c>
      <c r="C9" s="12" t="s">
        <v>889</v>
      </c>
      <c r="D9" s="94" t="s">
        <v>890</v>
      </c>
      <c r="E9" s="94" t="s">
        <v>891</v>
      </c>
      <c r="F9" s="92" t="n">
        <v>35878</v>
      </c>
      <c r="G9" s="13" t="s">
        <v>617</v>
      </c>
      <c r="H9" s="11"/>
      <c r="I9" s="11"/>
    </row>
    <row r="10" customFormat="false" ht="15.75" hidden="false" customHeight="false" outlineLevel="0" collapsed="false">
      <c r="A10" s="10" t="n">
        <v>8</v>
      </c>
      <c r="B10" s="91" t="n">
        <v>25198</v>
      </c>
      <c r="C10" s="91" t="s">
        <v>892</v>
      </c>
      <c r="D10" s="96" t="s">
        <v>893</v>
      </c>
      <c r="E10" s="91"/>
      <c r="F10" s="92" t="n">
        <v>36312</v>
      </c>
      <c r="G10" s="91" t="s">
        <v>587</v>
      </c>
      <c r="H10" s="13"/>
      <c r="I10" s="13"/>
    </row>
    <row r="11" customFormat="false" ht="15.75" hidden="false" customHeight="false" outlineLevel="0" collapsed="false">
      <c r="A11" s="10" t="n">
        <v>9</v>
      </c>
      <c r="B11" s="20" t="n">
        <v>25184</v>
      </c>
      <c r="C11" s="20" t="s">
        <v>735</v>
      </c>
      <c r="D11" s="20" t="s">
        <v>157</v>
      </c>
      <c r="E11" s="20" t="s">
        <v>736</v>
      </c>
      <c r="F11" s="97" t="n">
        <v>37751</v>
      </c>
      <c r="G11" s="20" t="s">
        <v>584</v>
      </c>
      <c r="H11" s="11"/>
      <c r="I11" s="11"/>
    </row>
    <row r="12" customFormat="false" ht="15.75" hidden="false" customHeight="false" outlineLevel="0" collapsed="false">
      <c r="A12" s="10" t="n">
        <v>10</v>
      </c>
      <c r="B12" s="20" t="n">
        <v>25161</v>
      </c>
      <c r="C12" s="59" t="s">
        <v>746</v>
      </c>
      <c r="D12" s="20" t="s">
        <v>141</v>
      </c>
      <c r="E12" s="20" t="s">
        <v>747</v>
      </c>
      <c r="F12" s="60" t="s">
        <v>748</v>
      </c>
      <c r="G12" s="74" t="s">
        <v>617</v>
      </c>
      <c r="H12" s="13"/>
      <c r="I12" s="13"/>
    </row>
    <row r="13" customFormat="false" ht="17.35" hidden="false" customHeight="false" outlineLevel="0" collapsed="false">
      <c r="A13" s="10" t="n">
        <v>11</v>
      </c>
      <c r="B13" s="20" t="n">
        <v>25235</v>
      </c>
      <c r="C13" s="68" t="s">
        <v>894</v>
      </c>
      <c r="D13" s="98" t="s">
        <v>895</v>
      </c>
      <c r="E13" s="68" t="s">
        <v>896</v>
      </c>
      <c r="F13" s="60" t="n">
        <v>39390</v>
      </c>
      <c r="G13" s="99" t="s">
        <v>897</v>
      </c>
      <c r="H13" s="11"/>
      <c r="I13" s="11"/>
    </row>
    <row r="14" customFormat="false" ht="15.75" hidden="false" customHeight="false" outlineLevel="0" collapsed="false">
      <c r="A14" s="10" t="n">
        <v>12</v>
      </c>
      <c r="B14" s="20" t="n">
        <v>25236</v>
      </c>
      <c r="C14" s="20" t="s">
        <v>898</v>
      </c>
      <c r="D14" s="100" t="s">
        <v>899</v>
      </c>
      <c r="E14" s="20" t="s">
        <v>900</v>
      </c>
      <c r="F14" s="60" t="n">
        <v>34554</v>
      </c>
      <c r="G14" s="101" t="s">
        <v>584</v>
      </c>
      <c r="H14" s="13"/>
      <c r="I14" s="13"/>
    </row>
    <row r="15" customFormat="false" ht="15.75" hidden="false" customHeight="false" outlineLevel="0" collapsed="false">
      <c r="A15" s="10" t="n">
        <v>13</v>
      </c>
      <c r="H15" s="11"/>
      <c r="I15" s="11"/>
    </row>
    <row r="16" customFormat="false" ht="15.75" hidden="false" customHeight="false" outlineLevel="0" collapsed="false">
      <c r="A16" s="10" t="n">
        <v>14</v>
      </c>
      <c r="C16" s="13"/>
      <c r="D16" s="13"/>
      <c r="E16" s="13"/>
      <c r="F16" s="13"/>
      <c r="G16" s="13"/>
      <c r="H16" s="13"/>
      <c r="I16" s="13"/>
    </row>
    <row r="17" customFormat="false" ht="15.75" hidden="false" customHeight="false" outlineLevel="0" collapsed="false">
      <c r="A17" s="10" t="n">
        <v>15</v>
      </c>
      <c r="B17" s="11"/>
      <c r="C17" s="11"/>
      <c r="D17" s="11"/>
      <c r="E17" s="11"/>
      <c r="F17" s="11"/>
      <c r="G17" s="11"/>
      <c r="H17" s="11"/>
      <c r="I17" s="11"/>
    </row>
    <row r="18" customFormat="false" ht="15.75" hidden="false" customHeight="false" outlineLevel="0" collapsed="false">
      <c r="A18" s="10" t="n">
        <v>16</v>
      </c>
      <c r="B18" s="13"/>
      <c r="C18" s="13"/>
      <c r="D18" s="13"/>
      <c r="E18" s="13"/>
      <c r="F18" s="13"/>
      <c r="G18" s="13"/>
      <c r="H18" s="13"/>
      <c r="I18" s="13"/>
    </row>
    <row r="19" customFormat="false" ht="15.7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K19" s="22" t="s">
        <v>238</v>
      </c>
    </row>
    <row r="20" customFormat="false" ht="15.75" hidden="false" customHeight="false" outlineLevel="0" collapsed="false">
      <c r="A20" s="10"/>
      <c r="B20" s="13"/>
      <c r="C20" s="13"/>
      <c r="D20" s="13"/>
      <c r="E20" s="13"/>
      <c r="F20" s="13"/>
      <c r="G20" s="13"/>
      <c r="H20" s="13"/>
      <c r="I20" s="13"/>
    </row>
    <row r="21" customFormat="false" ht="15.75" hidden="false" customHeight="false" outlineLevel="0" collapsed="false">
      <c r="A21" s="10"/>
      <c r="H21" s="11"/>
      <c r="I21" s="11"/>
    </row>
    <row r="22" customFormat="false" ht="15.75" hidden="false" customHeight="false" outlineLevel="0" collapsed="false">
      <c r="A22" s="10"/>
      <c r="B22" s="13"/>
      <c r="C22" s="13"/>
      <c r="D22" s="13"/>
      <c r="E22" s="13"/>
      <c r="F22" s="13"/>
      <c r="G22" s="13"/>
      <c r="H22" s="13"/>
      <c r="I22" s="13"/>
    </row>
    <row r="23" customFormat="false" ht="15.75" hidden="false" customHeight="false" outlineLevel="0" collapsed="false">
      <c r="A23" s="10"/>
      <c r="B23" s="11"/>
      <c r="C23" s="11"/>
      <c r="D23" s="11"/>
      <c r="E23" s="11"/>
      <c r="F23" s="11"/>
      <c r="G23" s="11"/>
      <c r="H23" s="11"/>
      <c r="I23" s="11"/>
    </row>
    <row r="24" customFormat="false" ht="15.75" hidden="false" customHeight="false" outlineLevel="0" collapsed="false">
      <c r="A24" s="10"/>
      <c r="B24" s="13"/>
      <c r="C24" s="13"/>
      <c r="D24" s="13"/>
      <c r="E24" s="13"/>
      <c r="F24" s="13"/>
      <c r="G24" s="13"/>
      <c r="H24" s="13"/>
      <c r="I24" s="13"/>
    </row>
    <row r="25" customFormat="false" ht="15.75" hidden="false" customHeight="false" outlineLevel="0" collapsed="false">
      <c r="A25" s="10"/>
      <c r="B25" s="11"/>
      <c r="C25" s="11"/>
      <c r="D25" s="11"/>
      <c r="E25" s="11"/>
      <c r="F25" s="11"/>
      <c r="G25" s="11"/>
      <c r="H25" s="11"/>
      <c r="I25" s="11"/>
    </row>
    <row r="28" customFormat="false" ht="15.75" hidden="false" customHeight="false" outlineLevel="0" collapsed="false">
      <c r="A28" s="29"/>
      <c r="C28" s="14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40" customFormat="false" ht="15.75" hidden="false" customHeight="false" outlineLevel="0" collapsed="false">
      <c r="C40" s="102" t="s">
        <v>901</v>
      </c>
      <c r="D40" s="103" t="s">
        <v>878</v>
      </c>
      <c r="E40" s="102" t="s">
        <v>902</v>
      </c>
      <c r="F40" s="104" t="s">
        <v>903</v>
      </c>
      <c r="G40" s="105" t="s">
        <v>904</v>
      </c>
      <c r="H40" s="103" t="s">
        <v>905</v>
      </c>
      <c r="I40" s="102" t="s">
        <v>879</v>
      </c>
      <c r="J40" s="103" t="s">
        <v>906</v>
      </c>
      <c r="K40" s="103" t="s">
        <v>881</v>
      </c>
      <c r="L40" s="103" t="s">
        <v>883</v>
      </c>
    </row>
    <row r="41" customFormat="false" ht="15.75" hidden="false" customHeight="false" outlineLevel="0" collapsed="false">
      <c r="C41" s="14"/>
      <c r="D41" s="14"/>
      <c r="E41" s="14"/>
      <c r="F41" s="20"/>
      <c r="G41" s="20"/>
      <c r="H41" s="14"/>
      <c r="I41" s="14"/>
      <c r="J41" s="14"/>
      <c r="K41" s="14"/>
      <c r="L41" s="14"/>
      <c r="M41" s="29"/>
    </row>
    <row r="42" customFormat="false" ht="15.75" hidden="false" customHeight="false" outlineLevel="0" collapsed="false">
      <c r="C42" s="14"/>
      <c r="D42" s="14"/>
      <c r="E42" s="14"/>
      <c r="F42" s="20"/>
      <c r="G42" s="20"/>
      <c r="H42" s="14"/>
      <c r="I42" s="14"/>
      <c r="J42" s="14"/>
      <c r="K42" s="14"/>
      <c r="L42" s="14"/>
      <c r="M42" s="29"/>
    </row>
    <row r="43" customFormat="false" ht="15.75" hidden="false" customHeight="false" outlineLevel="0" collapsed="false">
      <c r="C43" s="14"/>
      <c r="D43" s="14"/>
      <c r="E43" s="14"/>
      <c r="F43" s="20"/>
      <c r="G43" s="20"/>
      <c r="H43" s="14"/>
      <c r="I43" s="14"/>
      <c r="J43" s="14"/>
      <c r="K43" s="14"/>
      <c r="L43" s="14"/>
      <c r="M43" s="29"/>
    </row>
    <row r="44" customFormat="false" ht="15.75" hidden="false" customHeight="false" outlineLevel="0" collapsed="false">
      <c r="C44" s="14"/>
      <c r="D44" s="14"/>
      <c r="E44" s="14"/>
      <c r="F44" s="20"/>
      <c r="G44" s="20"/>
      <c r="H44" s="14"/>
      <c r="I44" s="14"/>
      <c r="J44" s="14"/>
      <c r="K44" s="14"/>
      <c r="L44" s="14"/>
      <c r="M44" s="29"/>
    </row>
    <row r="45" customFormat="false" ht="15.75" hidden="false" customHeight="false" outlineLevel="0" collapsed="false">
      <c r="C45" s="14"/>
      <c r="D45" s="14"/>
      <c r="E45" s="14"/>
      <c r="F45" s="20"/>
      <c r="G45" s="20"/>
      <c r="H45" s="14"/>
      <c r="I45" s="14"/>
      <c r="J45" s="14"/>
      <c r="K45" s="14"/>
      <c r="L45" s="14"/>
      <c r="M45" s="29"/>
    </row>
    <row r="46" customFormat="false" ht="15.75" hidden="false" customHeight="false" outlineLevel="0" collapsed="false">
      <c r="C46" s="14"/>
      <c r="D46" s="14"/>
      <c r="E46" s="14"/>
      <c r="F46" s="20"/>
      <c r="G46" s="20"/>
      <c r="H46" s="14"/>
      <c r="I46" s="14"/>
      <c r="J46" s="14"/>
      <c r="K46" s="14"/>
      <c r="L46" s="14"/>
      <c r="M46" s="29"/>
    </row>
    <row r="47" customFormat="false" ht="15.75" hidden="false" customHeight="false" outlineLevel="0" collapsed="false">
      <c r="C47" s="14"/>
      <c r="D47" s="14"/>
      <c r="E47" s="14"/>
      <c r="F47" s="20"/>
      <c r="G47" s="20"/>
      <c r="H47" s="14"/>
      <c r="I47" s="14"/>
      <c r="J47" s="14"/>
      <c r="K47" s="14"/>
      <c r="L47" s="14"/>
      <c r="M47" s="29"/>
    </row>
    <row r="48" customFormat="false" ht="15.75" hidden="false" customHeight="false" outlineLevel="0" collapsed="false">
      <c r="C48" s="14"/>
      <c r="D48" s="14"/>
      <c r="E48" s="14"/>
      <c r="F48" s="20"/>
      <c r="G48" s="20"/>
      <c r="H48" s="14"/>
      <c r="I48" s="14"/>
      <c r="J48" s="14"/>
      <c r="K48" s="14"/>
      <c r="L48" s="14"/>
      <c r="M48" s="29"/>
    </row>
    <row r="49" customFormat="false" ht="15.75" hidden="false" customHeight="false" outlineLevel="0" collapsed="false">
      <c r="C49" s="14"/>
      <c r="D49" s="14"/>
      <c r="E49" s="14"/>
      <c r="F49" s="20"/>
      <c r="G49" s="20"/>
      <c r="H49" s="14"/>
      <c r="I49" s="14"/>
      <c r="J49" s="14"/>
      <c r="K49" s="14"/>
      <c r="L49" s="14"/>
      <c r="M49" s="29"/>
    </row>
  </sheetData>
  <mergeCells count="3">
    <mergeCell ref="A1:I1"/>
    <mergeCell ref="A2:E2"/>
    <mergeCell ref="F2:I2"/>
  </mergeCells>
  <dataValidations count="1">
    <dataValidation allowBlank="true" errorStyle="stop" operator="between" showDropDown="true" showErrorMessage="true" showInputMessage="false" sqref="F4:F7 F9:F10 F13:F14" type="custom">
      <formula1>OR(NOT(ISERROR(DATEVALUE(F4))), AND(ISNUMBER(F4), LEFT(CELL("format", F4))="D"))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5.51"/>
    <col collapsed="false" customWidth="true" hidden="false" outlineLevel="0" max="3" min="3" style="0" width="34.38"/>
    <col collapsed="false" customWidth="true" hidden="false" outlineLevel="0" max="4" min="4" style="0" width="24"/>
    <col collapsed="false" customWidth="true" hidden="false" outlineLevel="0" max="5" min="5" style="0" width="19.51"/>
    <col collapsed="false" customWidth="true" hidden="false" outlineLevel="0" max="6" min="6" style="0" width="19.63"/>
    <col collapsed="false" customWidth="true" hidden="false" outlineLevel="0" max="7" min="7" style="0" width="25.75"/>
    <col collapsed="false" customWidth="true" hidden="false" outlineLevel="0" max="8" min="8" style="0" width="27.63"/>
  </cols>
  <sheetData>
    <row r="1" customFormat="false" ht="25.35" hidden="false" customHeight="false" outlineLevel="0" collapsed="false">
      <c r="A1" s="106" t="s">
        <v>907</v>
      </c>
      <c r="B1" s="106"/>
      <c r="C1" s="106"/>
      <c r="D1" s="106"/>
      <c r="E1" s="106"/>
      <c r="F1" s="106"/>
      <c r="G1" s="106"/>
      <c r="H1" s="106"/>
      <c r="I1" s="106"/>
      <c r="J1" s="71"/>
    </row>
    <row r="2" customFormat="false" ht="17.35" hidden="false" customHeight="false" outlineLevel="0" collapsed="false">
      <c r="A2" s="107" t="s">
        <v>908</v>
      </c>
      <c r="B2" s="107"/>
      <c r="C2" s="107"/>
      <c r="D2" s="107"/>
      <c r="E2" s="107"/>
      <c r="F2" s="107" t="s">
        <v>909</v>
      </c>
      <c r="G2" s="107"/>
      <c r="H2" s="107"/>
      <c r="I2" s="107"/>
      <c r="J2" s="71"/>
    </row>
    <row r="3" customFormat="false" ht="17.35" hidden="false" customHeight="false" outlineLevel="0" collapsed="false">
      <c r="A3" s="108" t="s">
        <v>48</v>
      </c>
      <c r="B3" s="109" t="s">
        <v>910</v>
      </c>
      <c r="C3" s="110" t="s">
        <v>877</v>
      </c>
      <c r="D3" s="109" t="s">
        <v>5</v>
      </c>
      <c r="E3" s="109" t="s">
        <v>6</v>
      </c>
      <c r="F3" s="109" t="s">
        <v>50</v>
      </c>
      <c r="G3" s="109" t="s">
        <v>577</v>
      </c>
      <c r="H3" s="110" t="s">
        <v>52</v>
      </c>
      <c r="I3" s="109" t="s">
        <v>53</v>
      </c>
      <c r="J3" s="71"/>
    </row>
    <row r="4" customFormat="false" ht="15.75" hidden="false" customHeight="false" outlineLevel="0" collapsed="false">
      <c r="A4" s="20" t="n">
        <v>1</v>
      </c>
      <c r="B4" s="24" t="n">
        <v>25232</v>
      </c>
      <c r="C4" s="111" t="s">
        <v>911</v>
      </c>
      <c r="D4" s="25" t="s">
        <v>212</v>
      </c>
      <c r="E4" s="20" t="s">
        <v>912</v>
      </c>
      <c r="F4" s="60" t="n">
        <v>38357</v>
      </c>
      <c r="G4" s="101" t="s">
        <v>697</v>
      </c>
      <c r="H4" s="29"/>
      <c r="I4" s="29"/>
      <c r="J4" s="71"/>
    </row>
    <row r="5" customFormat="false" ht="15.75" hidden="false" customHeight="false" outlineLevel="0" collapsed="false">
      <c r="A5" s="68" t="n">
        <v>2</v>
      </c>
      <c r="B5" s="20" t="n">
        <v>25233</v>
      </c>
      <c r="C5" s="111" t="s">
        <v>913</v>
      </c>
      <c r="D5" s="21" t="s">
        <v>215</v>
      </c>
      <c r="E5" s="112" t="s">
        <v>914</v>
      </c>
      <c r="F5" s="69" t="n">
        <v>38011</v>
      </c>
      <c r="G5" s="113" t="s">
        <v>587</v>
      </c>
      <c r="H5" s="114"/>
      <c r="I5" s="114"/>
      <c r="J5" s="71"/>
    </row>
    <row r="6" customFormat="false" ht="15.75" hidden="false" customHeight="false" outlineLevel="0" collapsed="false">
      <c r="A6" s="20" t="n">
        <v>3</v>
      </c>
      <c r="B6" s="20" t="n">
        <v>25234</v>
      </c>
      <c r="C6" s="21" t="s">
        <v>915</v>
      </c>
      <c r="D6" s="100" t="s">
        <v>916</v>
      </c>
      <c r="E6" s="20" t="s">
        <v>917</v>
      </c>
      <c r="F6" s="60" t="n">
        <v>37335</v>
      </c>
      <c r="G6" s="101" t="s">
        <v>584</v>
      </c>
      <c r="H6" s="29"/>
      <c r="I6" s="29"/>
      <c r="J6" s="71"/>
    </row>
    <row r="7" customFormat="false" ht="15.75" hidden="false" customHeight="false" outlineLevel="0" collapsed="false">
      <c r="A7" s="68" t="n">
        <v>4</v>
      </c>
      <c r="B7" s="20" t="n">
        <v>25237</v>
      </c>
      <c r="C7" s="112" t="s">
        <v>918</v>
      </c>
      <c r="D7" s="98" t="s">
        <v>919</v>
      </c>
      <c r="E7" s="98" t="s">
        <v>920</v>
      </c>
      <c r="F7" s="60" t="n">
        <v>38659</v>
      </c>
      <c r="G7" s="113" t="s">
        <v>697</v>
      </c>
      <c r="H7" s="114"/>
      <c r="I7" s="114"/>
      <c r="J7" s="71"/>
    </row>
    <row r="8" customFormat="false" ht="15.75" hidden="false" customHeight="false" outlineLevel="0" collapsed="false">
      <c r="A8" s="20" t="n">
        <v>5</v>
      </c>
      <c r="B8" s="20" t="n">
        <v>25238</v>
      </c>
      <c r="C8" s="21" t="s">
        <v>921</v>
      </c>
      <c r="D8" s="100" t="s">
        <v>922</v>
      </c>
      <c r="E8" s="100" t="s">
        <v>923</v>
      </c>
      <c r="F8" s="60" t="n">
        <v>39566</v>
      </c>
      <c r="G8" s="101" t="s">
        <v>587</v>
      </c>
      <c r="H8" s="29"/>
      <c r="I8" s="29"/>
      <c r="J8" s="71"/>
    </row>
    <row r="9" customFormat="false" ht="15.75" hidden="false" customHeight="false" outlineLevel="0" collapsed="false">
      <c r="A9" s="68" t="n">
        <v>6</v>
      </c>
      <c r="B9" s="20" t="n">
        <v>25198</v>
      </c>
      <c r="C9" s="21" t="s">
        <v>892</v>
      </c>
      <c r="D9" s="100" t="s">
        <v>893</v>
      </c>
      <c r="E9" s="29"/>
      <c r="F9" s="60" t="n">
        <v>36312</v>
      </c>
      <c r="G9" s="20" t="s">
        <v>587</v>
      </c>
      <c r="H9" s="114"/>
      <c r="I9" s="114"/>
      <c r="J9" s="71"/>
    </row>
    <row r="10" customFormat="false" ht="15.75" hidden="false" customHeight="false" outlineLevel="0" collapsed="false">
      <c r="A10" s="20" t="n">
        <v>7</v>
      </c>
      <c r="B10" s="20" t="n">
        <v>25222</v>
      </c>
      <c r="C10" s="20" t="s">
        <v>902</v>
      </c>
      <c r="D10" s="100" t="s">
        <v>924</v>
      </c>
      <c r="E10" s="20" t="s">
        <v>925</v>
      </c>
      <c r="F10" s="60" t="n">
        <v>36940</v>
      </c>
      <c r="G10" s="101" t="s">
        <v>617</v>
      </c>
      <c r="H10" s="29"/>
      <c r="I10" s="29"/>
      <c r="J10" s="71"/>
    </row>
    <row r="11" customFormat="false" ht="15.75" hidden="false" customHeight="false" outlineLevel="0" collapsed="false">
      <c r="A11" s="68" t="n">
        <v>8</v>
      </c>
      <c r="B11" s="68" t="n">
        <v>25227</v>
      </c>
      <c r="C11" s="68" t="s">
        <v>906</v>
      </c>
      <c r="D11" s="98" t="s">
        <v>926</v>
      </c>
      <c r="E11" s="98" t="s">
        <v>927</v>
      </c>
      <c r="F11" s="69" t="n">
        <v>38917</v>
      </c>
      <c r="G11" s="113" t="s">
        <v>617</v>
      </c>
      <c r="H11" s="114"/>
      <c r="I11" s="114"/>
      <c r="J11" s="71"/>
    </row>
    <row r="12" customFormat="false" ht="15.75" hidden="false" customHeight="false" outlineLevel="0" collapsed="false">
      <c r="A12" s="20" t="n">
        <v>9</v>
      </c>
      <c r="B12" s="115"/>
      <c r="C12" s="21" t="s">
        <v>928</v>
      </c>
      <c r="D12" s="100" t="s">
        <v>929</v>
      </c>
      <c r="E12" s="100" t="s">
        <v>930</v>
      </c>
      <c r="F12" s="60" t="n">
        <v>37523</v>
      </c>
      <c r="G12" s="101" t="s">
        <v>584</v>
      </c>
      <c r="H12" s="29"/>
      <c r="I12" s="29"/>
      <c r="J12" s="71"/>
    </row>
    <row r="13" customFormat="false" ht="15.75" hidden="false" customHeight="false" outlineLevel="0" collapsed="false">
      <c r="A13" s="68" t="n">
        <v>10</v>
      </c>
      <c r="B13" s="116"/>
      <c r="C13" s="21" t="s">
        <v>931</v>
      </c>
      <c r="D13" s="100" t="s">
        <v>286</v>
      </c>
      <c r="E13" s="100" t="s">
        <v>932</v>
      </c>
      <c r="F13" s="60" t="n">
        <v>35095</v>
      </c>
      <c r="G13" s="101" t="s">
        <v>584</v>
      </c>
      <c r="H13" s="114"/>
      <c r="I13" s="114"/>
      <c r="J13" s="71"/>
    </row>
    <row r="14" customFormat="false" ht="15.75" hidden="false" customHeight="false" outlineLevel="0" collapsed="false">
      <c r="A14" s="20" t="n">
        <v>11</v>
      </c>
      <c r="H14" s="29"/>
      <c r="I14" s="29"/>
      <c r="J14" s="71"/>
      <c r="M14" s="117"/>
    </row>
    <row r="15" customFormat="false" ht="15.75" hidden="false" customHeight="false" outlineLevel="0" collapsed="false">
      <c r="A15" s="68" t="n">
        <v>12</v>
      </c>
      <c r="H15" s="114"/>
      <c r="I15" s="114"/>
      <c r="J15" s="71"/>
      <c r="M15" s="117"/>
    </row>
    <row r="16" customFormat="false" ht="15.75" hidden="false" customHeight="false" outlineLevel="0" collapsed="false">
      <c r="A16" s="20" t="n">
        <v>13</v>
      </c>
      <c r="B16" s="68"/>
      <c r="C16" s="68"/>
      <c r="D16" s="98"/>
      <c r="E16" s="98"/>
      <c r="F16" s="60"/>
      <c r="G16" s="113"/>
      <c r="H16" s="29"/>
      <c r="I16" s="29"/>
      <c r="J16" s="71"/>
      <c r="M16" s="117"/>
    </row>
    <row r="17" customFormat="false" ht="15.75" hidden="false" customHeight="false" outlineLevel="0" collapsed="false">
      <c r="A17" s="68" t="n">
        <v>14</v>
      </c>
      <c r="B17" s="29"/>
      <c r="C17" s="29"/>
      <c r="D17" s="29"/>
      <c r="E17" s="29"/>
      <c r="F17" s="29"/>
      <c r="G17" s="29"/>
      <c r="H17" s="114"/>
      <c r="I17" s="114"/>
      <c r="J17" s="71"/>
      <c r="M17" s="117"/>
    </row>
    <row r="18" customFormat="false" ht="15.75" hidden="false" customHeight="false" outlineLevel="0" collapsed="false">
      <c r="A18" s="20" t="n">
        <v>15</v>
      </c>
      <c r="B18" s="29"/>
      <c r="C18" s="29"/>
      <c r="D18" s="29"/>
      <c r="E18" s="29"/>
      <c r="F18" s="29"/>
      <c r="G18" s="29"/>
      <c r="H18" s="29"/>
      <c r="I18" s="29"/>
      <c r="J18" s="71"/>
      <c r="M18" s="117"/>
    </row>
    <row r="19" customFormat="false" ht="15.75" hidden="false" customHeight="false" outlineLevel="0" collapsed="false">
      <c r="A19" s="68" t="n">
        <v>16</v>
      </c>
      <c r="H19" s="114"/>
      <c r="I19" s="114"/>
      <c r="J19" s="71"/>
      <c r="M19" s="117"/>
    </row>
    <row r="20" customFormat="false" ht="15.75" hidden="false" customHeight="false" outlineLevel="0" collapsed="false">
      <c r="A20" s="20" t="n">
        <v>17</v>
      </c>
      <c r="H20" s="29"/>
      <c r="I20" s="29"/>
      <c r="J20" s="71"/>
      <c r="M20" s="117"/>
    </row>
    <row r="21" customFormat="false" ht="15.75" hidden="false" customHeight="false" outlineLevel="0" collapsed="false">
      <c r="A21" s="68" t="n">
        <v>18</v>
      </c>
      <c r="H21" s="114"/>
      <c r="I21" s="114"/>
      <c r="J21" s="71"/>
      <c r="M21" s="117"/>
    </row>
    <row r="22" customFormat="false" ht="15.75" hidden="false" customHeight="false" outlineLevel="0" collapsed="false">
      <c r="A22" s="29"/>
      <c r="H22" s="29"/>
      <c r="I22" s="29"/>
      <c r="J22" s="71"/>
      <c r="M22" s="117"/>
    </row>
    <row r="23" customFormat="false" ht="15.75" hidden="false" customHeight="false" outlineLevel="0" collapsed="false">
      <c r="A23" s="114"/>
      <c r="B23" s="114"/>
      <c r="C23" s="114"/>
      <c r="D23" s="114"/>
      <c r="E23" s="114"/>
      <c r="F23" s="114"/>
      <c r="G23" s="114"/>
      <c r="H23" s="114"/>
      <c r="I23" s="114"/>
      <c r="J23" s="71"/>
      <c r="M23" s="117"/>
    </row>
    <row r="24" customFormat="false" ht="15.75" hidden="false" customHeight="false" outlineLevel="0" collapsed="false">
      <c r="A24" s="29"/>
      <c r="H24" s="29"/>
      <c r="I24" s="29"/>
      <c r="J24" s="71"/>
    </row>
    <row r="25" customFormat="false" ht="15.75" hidden="false" customHeight="false" outlineLevel="0" collapsed="false">
      <c r="A25" s="114"/>
      <c r="B25" s="114"/>
      <c r="C25" s="114"/>
      <c r="D25" s="114"/>
      <c r="E25" s="114"/>
      <c r="F25" s="114"/>
      <c r="G25" s="114"/>
      <c r="H25" s="114"/>
      <c r="I25" s="114"/>
      <c r="J25" s="71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71"/>
    </row>
    <row r="27" customFormat="false" ht="15.75" hidden="false" customHeight="false" outlineLevel="0" collapsed="false">
      <c r="A27" s="114"/>
      <c r="B27" s="114"/>
      <c r="C27" s="114"/>
      <c r="D27" s="114"/>
      <c r="E27" s="114"/>
      <c r="F27" s="114"/>
      <c r="G27" s="114"/>
      <c r="H27" s="114"/>
      <c r="I27" s="114"/>
      <c r="J27" s="71"/>
    </row>
    <row r="28" customFormat="false" ht="15.75" hidden="false" customHeight="false" outlineLevel="0" collapsed="false">
      <c r="A28" s="118"/>
      <c r="B28" s="118"/>
      <c r="C28" s="118"/>
      <c r="D28" s="118"/>
      <c r="E28" s="118"/>
      <c r="F28" s="118"/>
      <c r="G28" s="118"/>
      <c r="H28" s="118"/>
      <c r="I28" s="118"/>
      <c r="J28" s="71"/>
    </row>
    <row r="38" customFormat="false" ht="15.75" hidden="false" customHeight="false" outlineLevel="0" collapsed="false">
      <c r="G38" s="119"/>
      <c r="H38" s="119"/>
      <c r="I38" s="119"/>
      <c r="J38" s="119"/>
      <c r="K38" s="119"/>
      <c r="L38" s="119"/>
      <c r="M38" s="119"/>
      <c r="N38" s="119"/>
      <c r="O38" s="119"/>
      <c r="P38" s="119"/>
    </row>
    <row r="39" customFormat="false" ht="15.75" hidden="false" customHeight="false" outlineLevel="0" collapsed="false">
      <c r="E39" s="119"/>
    </row>
    <row r="40" customFormat="false" ht="15.75" hidden="false" customHeight="false" outlineLevel="0" collapsed="false">
      <c r="E40" s="119"/>
    </row>
    <row r="41" customFormat="false" ht="15.75" hidden="false" customHeight="false" outlineLevel="0" collapsed="false">
      <c r="E41" s="119"/>
    </row>
    <row r="42" customFormat="false" ht="15.75" hidden="false" customHeight="false" outlineLevel="0" collapsed="false">
      <c r="E42" s="119"/>
    </row>
    <row r="43" customFormat="false" ht="15.75" hidden="false" customHeight="false" outlineLevel="0" collapsed="false">
      <c r="E43" s="119"/>
    </row>
    <row r="44" customFormat="false" ht="15.75" hidden="false" customHeight="false" outlineLevel="0" collapsed="false">
      <c r="E44" s="119"/>
    </row>
    <row r="45" customFormat="false" ht="15.75" hidden="false" customHeight="false" outlineLevel="0" collapsed="false">
      <c r="E45" s="119"/>
    </row>
    <row r="46" customFormat="false" ht="15.75" hidden="false" customHeight="false" outlineLevel="0" collapsed="false">
      <c r="E46" s="119"/>
    </row>
    <row r="47" customFormat="false" ht="15.75" hidden="false" customHeight="false" outlineLevel="0" collapsed="false">
      <c r="E47" s="119"/>
    </row>
    <row r="48" customFormat="false" ht="15.75" hidden="false" customHeight="false" outlineLevel="0" collapsed="false">
      <c r="E48" s="119"/>
    </row>
  </sheetData>
  <mergeCells count="3">
    <mergeCell ref="A1:I1"/>
    <mergeCell ref="A2:E2"/>
    <mergeCell ref="F2:I2"/>
  </mergeCells>
  <dataValidations count="1">
    <dataValidation allowBlank="true" errorStyle="stop" operator="between" showDropDown="true" showErrorMessage="true" showInputMessage="false" sqref="F4:F13 F16" type="custom">
      <formula1>OR(NOT(ISERROR(DATEVALUE(F4))), AND(ISNUMBER(F4), LEFT(CELL("format", F4))="D"))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.88"/>
    <col collapsed="false" customWidth="true" hidden="false" outlineLevel="0" max="4" min="4" style="0" width="22"/>
    <col collapsed="false" customWidth="true" hidden="false" outlineLevel="0" max="5" min="5" style="0" width="21.5"/>
    <col collapsed="false" customWidth="true" hidden="false" outlineLevel="0" max="6" min="6" style="0" width="18.63"/>
    <col collapsed="false" customWidth="true" hidden="false" outlineLevel="0" max="8" min="8" style="0" width="21.88"/>
    <col collapsed="false" customWidth="true" hidden="false" outlineLevel="0" max="9" min="9" style="0" width="26.12"/>
  </cols>
  <sheetData>
    <row r="1" customFormat="false" ht="15.75" hidden="false" customHeight="false" outlineLevel="0" collapsed="false"/>
    <row r="2" customFormat="false" ht="29.1" hidden="false" customHeight="false" outlineLevel="0" collapsed="false">
      <c r="A2" s="4" t="s">
        <v>933</v>
      </c>
      <c r="B2" s="4"/>
      <c r="C2" s="4"/>
      <c r="D2" s="4"/>
      <c r="E2" s="4"/>
      <c r="F2" s="4"/>
      <c r="G2" s="4"/>
      <c r="H2" s="4"/>
      <c r="I2" s="4"/>
    </row>
    <row r="3" customFormat="false" ht="17.35" hidden="false" customHeight="false" outlineLevel="0" collapsed="false">
      <c r="A3" s="6" t="s">
        <v>934</v>
      </c>
      <c r="B3" s="6"/>
      <c r="C3" s="6"/>
      <c r="D3" s="6"/>
      <c r="E3" s="6"/>
      <c r="F3" s="6" t="s">
        <v>935</v>
      </c>
      <c r="G3" s="6"/>
      <c r="H3" s="6"/>
      <c r="I3" s="6"/>
    </row>
    <row r="4" customFormat="false" ht="17.35" hidden="false" customHeight="false" outlineLevel="0" collapsed="false">
      <c r="A4" s="7" t="s">
        <v>48</v>
      </c>
      <c r="B4" s="8" t="s">
        <v>4</v>
      </c>
      <c r="C4" s="9" t="s">
        <v>49</v>
      </c>
      <c r="D4" s="8" t="s">
        <v>5</v>
      </c>
      <c r="E4" s="8" t="s">
        <v>6</v>
      </c>
      <c r="F4" s="8" t="s">
        <v>50</v>
      </c>
      <c r="G4" s="8" t="s">
        <v>51</v>
      </c>
      <c r="H4" s="120" t="s">
        <v>577</v>
      </c>
      <c r="I4" s="8" t="s">
        <v>53</v>
      </c>
    </row>
    <row r="5" customFormat="false" ht="15.75" hidden="false" customHeight="false" outlineLevel="0" collapsed="false">
      <c r="A5" s="10" t="n">
        <v>1</v>
      </c>
      <c r="B5" s="121" t="s">
        <v>936</v>
      </c>
      <c r="C5" s="20" t="n">
        <v>26245</v>
      </c>
      <c r="D5" s="14" t="s">
        <v>937</v>
      </c>
      <c r="E5" s="14" t="s">
        <v>938</v>
      </c>
      <c r="F5" s="14" t="s">
        <v>939</v>
      </c>
      <c r="G5" s="11"/>
      <c r="H5" s="11"/>
      <c r="I5" s="11"/>
    </row>
    <row r="6" customFormat="false" ht="15.75" hidden="false" customHeight="false" outlineLevel="0" collapsed="false">
      <c r="A6" s="10" t="n">
        <v>2</v>
      </c>
      <c r="B6" s="122" t="s">
        <v>940</v>
      </c>
      <c r="C6" s="20" t="n">
        <v>26242</v>
      </c>
      <c r="D6" s="12" t="s">
        <v>941</v>
      </c>
      <c r="E6" s="12" t="s">
        <v>942</v>
      </c>
      <c r="F6" s="41" t="n">
        <v>37714</v>
      </c>
      <c r="G6" s="13"/>
      <c r="H6" s="13"/>
      <c r="I6" s="13"/>
    </row>
    <row r="7" customFormat="false" ht="15.75" hidden="false" customHeight="false" outlineLevel="0" collapsed="false">
      <c r="A7" s="10" t="n">
        <v>3</v>
      </c>
      <c r="B7" s="21" t="s">
        <v>915</v>
      </c>
      <c r="C7" s="20" t="n">
        <v>25234</v>
      </c>
      <c r="D7" s="100" t="s">
        <v>916</v>
      </c>
      <c r="E7" s="20" t="s">
        <v>917</v>
      </c>
      <c r="F7" s="60" t="n">
        <v>37335</v>
      </c>
      <c r="H7" s="101" t="s">
        <v>584</v>
      </c>
      <c r="I7" s="11"/>
    </row>
    <row r="8" customFormat="false" ht="15.75" hidden="false" customHeight="false" outlineLevel="0" collapsed="false">
      <c r="A8" s="10" t="n">
        <v>4</v>
      </c>
      <c r="B8" s="123" t="s">
        <v>943</v>
      </c>
      <c r="C8" s="12" t="n">
        <v>26241</v>
      </c>
      <c r="D8" s="12" t="s">
        <v>944</v>
      </c>
      <c r="E8" s="12" t="s">
        <v>945</v>
      </c>
      <c r="F8" s="41" t="n">
        <v>34700</v>
      </c>
      <c r="G8" s="13"/>
      <c r="H8" s="13"/>
      <c r="I8" s="13"/>
    </row>
    <row r="9" customFormat="false" ht="15.75" hidden="false" customHeight="false" outlineLevel="0" collapsed="false">
      <c r="A9" s="10" t="n">
        <v>5</v>
      </c>
      <c r="B9" s="121" t="s">
        <v>946</v>
      </c>
      <c r="C9" s="20" t="n">
        <v>26243</v>
      </c>
      <c r="D9" s="14" t="s">
        <v>947</v>
      </c>
      <c r="E9" s="14" t="s">
        <v>948</v>
      </c>
      <c r="F9" s="42" t="n">
        <v>37683</v>
      </c>
      <c r="G9" s="11"/>
      <c r="H9" s="11"/>
      <c r="I9" s="11"/>
    </row>
    <row r="10" customFormat="false" ht="15.75" hidden="false" customHeight="false" outlineLevel="0" collapsed="false">
      <c r="A10" s="10" t="n">
        <v>7</v>
      </c>
      <c r="B10" s="122" t="s">
        <v>949</v>
      </c>
      <c r="C10" s="12" t="n">
        <v>26247</v>
      </c>
      <c r="D10" s="12" t="s">
        <v>950</v>
      </c>
      <c r="E10" s="12" t="s">
        <v>951</v>
      </c>
      <c r="F10" s="41" t="n">
        <v>37633</v>
      </c>
      <c r="G10" s="11"/>
      <c r="H10" s="11"/>
      <c r="I10" s="11"/>
    </row>
    <row r="11" customFormat="false" ht="15.75" hidden="false" customHeight="false" outlineLevel="0" collapsed="false">
      <c r="A11" s="10" t="n">
        <v>8</v>
      </c>
      <c r="B11" s="121" t="s">
        <v>952</v>
      </c>
      <c r="C11" s="14" t="n">
        <v>26248</v>
      </c>
      <c r="D11" s="14" t="s">
        <v>275</v>
      </c>
      <c r="E11" s="14" t="s">
        <v>953</v>
      </c>
      <c r="F11" s="14" t="s">
        <v>954</v>
      </c>
      <c r="G11" s="13"/>
      <c r="H11" s="13"/>
      <c r="I11" s="13"/>
    </row>
    <row r="12" customFormat="false" ht="15.75" hidden="false" customHeight="false" outlineLevel="0" collapsed="false">
      <c r="A12" s="10" t="n">
        <v>9</v>
      </c>
      <c r="B12" s="122" t="s">
        <v>955</v>
      </c>
      <c r="C12" s="12" t="n">
        <v>26246</v>
      </c>
      <c r="D12" s="12" t="s">
        <v>284</v>
      </c>
      <c r="E12" s="12" t="s">
        <v>956</v>
      </c>
      <c r="F12" s="46" t="n">
        <v>38118</v>
      </c>
      <c r="G12" s="11"/>
      <c r="H12" s="11"/>
      <c r="I12" s="11"/>
    </row>
    <row r="13" customFormat="false" ht="15.75" hidden="false" customHeight="false" outlineLevel="0" collapsed="false">
      <c r="A13" s="10" t="n">
        <v>10</v>
      </c>
      <c r="B13" s="121" t="s">
        <v>957</v>
      </c>
      <c r="C13" s="11" t="n">
        <v>26250</v>
      </c>
      <c r="D13" s="14" t="s">
        <v>958</v>
      </c>
      <c r="E13" s="14" t="s">
        <v>959</v>
      </c>
      <c r="F13" s="14" t="s">
        <v>960</v>
      </c>
      <c r="G13" s="13"/>
      <c r="H13" s="13"/>
      <c r="I13" s="13"/>
    </row>
    <row r="14" customFormat="false" ht="15.75" hidden="false" customHeight="false" outlineLevel="0" collapsed="false">
      <c r="A14" s="10" t="n">
        <v>11</v>
      </c>
      <c r="B14" s="124" t="s">
        <v>961</v>
      </c>
      <c r="C14" s="38" t="n">
        <v>26240</v>
      </c>
      <c r="E14" s="38" t="s">
        <v>278</v>
      </c>
      <c r="G14" s="11"/>
      <c r="H14" s="11"/>
      <c r="I14" s="11"/>
    </row>
    <row r="15" customFormat="false" ht="15.75" hidden="false" customHeight="false" outlineLevel="0" collapsed="false">
      <c r="A15" s="10" t="n">
        <v>12</v>
      </c>
      <c r="B15" s="27" t="s">
        <v>962</v>
      </c>
      <c r="C15" s="27" t="n">
        <v>26279</v>
      </c>
      <c r="D15" s="27" t="s">
        <v>963</v>
      </c>
      <c r="F15" s="13"/>
      <c r="G15" s="13"/>
      <c r="H15" s="13"/>
      <c r="I15" s="13"/>
    </row>
    <row r="16" customFormat="false" ht="15.75" hidden="false" customHeight="false" outlineLevel="0" collapsed="false">
      <c r="A16" s="10" t="n">
        <v>13</v>
      </c>
      <c r="B16" s="27" t="s">
        <v>905</v>
      </c>
      <c r="C16" s="12" t="n">
        <v>25225</v>
      </c>
      <c r="D16" s="93" t="s">
        <v>964</v>
      </c>
      <c r="E16" s="93" t="s">
        <v>965</v>
      </c>
      <c r="F16" s="11" t="s">
        <v>966</v>
      </c>
      <c r="G16" s="11"/>
      <c r="H16" s="11" t="s">
        <v>584</v>
      </c>
      <c r="I16" s="11"/>
    </row>
    <row r="17" customFormat="false" ht="15.75" hidden="false" customHeight="false" outlineLevel="0" collapsed="false">
      <c r="A17" s="14" t="n">
        <v>14</v>
      </c>
      <c r="B17" s="101" t="s">
        <v>906</v>
      </c>
      <c r="C17" s="20" t="n">
        <v>25227</v>
      </c>
      <c r="D17" s="100" t="s">
        <v>926</v>
      </c>
      <c r="E17" s="100" t="s">
        <v>927</v>
      </c>
      <c r="F17" s="60" t="n">
        <v>38917</v>
      </c>
      <c r="G17" s="29"/>
      <c r="H17" s="101" t="s">
        <v>617</v>
      </c>
      <c r="I17" s="11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5.75" hidden="false" customHeight="false" outlineLevel="0" collapsed="false">
      <c r="A18" s="91" t="n">
        <v>15</v>
      </c>
      <c r="B18" s="68" t="s">
        <v>902</v>
      </c>
      <c r="C18" s="68" t="n">
        <v>25222</v>
      </c>
      <c r="D18" s="98" t="s">
        <v>924</v>
      </c>
      <c r="E18" s="68" t="s">
        <v>925</v>
      </c>
      <c r="F18" s="69" t="n">
        <v>36940</v>
      </c>
      <c r="G18" s="114"/>
      <c r="H18" s="113" t="s">
        <v>617</v>
      </c>
      <c r="I18" s="125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customFormat="false" ht="15.75" hidden="false" customHeight="false" outlineLevel="0" collapsed="false">
      <c r="A19" s="10" t="n">
        <v>16</v>
      </c>
      <c r="B19" s="20" t="s">
        <v>921</v>
      </c>
      <c r="C19" s="20" t="n">
        <v>25238</v>
      </c>
      <c r="D19" s="100" t="s">
        <v>922</v>
      </c>
      <c r="E19" s="100" t="s">
        <v>923</v>
      </c>
      <c r="F19" s="60" t="n">
        <v>39566</v>
      </c>
      <c r="H19" s="101" t="s">
        <v>587</v>
      </c>
      <c r="I19" s="13"/>
    </row>
    <row r="20" customFormat="false" ht="15.75" hidden="false" customHeight="false" outlineLevel="0" collapsed="false">
      <c r="A20" s="10" t="n">
        <v>17</v>
      </c>
      <c r="B20" s="68" t="s">
        <v>918</v>
      </c>
      <c r="C20" s="20" t="n">
        <v>25237</v>
      </c>
      <c r="D20" s="98" t="s">
        <v>919</v>
      </c>
      <c r="E20" s="98" t="s">
        <v>920</v>
      </c>
      <c r="F20" s="60" t="n">
        <v>38659</v>
      </c>
      <c r="H20" s="113" t="s">
        <v>697</v>
      </c>
      <c r="I20" s="11"/>
    </row>
    <row r="21" customFormat="false" ht="15.75" hidden="false" customHeight="false" outlineLevel="0" collapsed="false">
      <c r="A21" s="10" t="n">
        <v>18</v>
      </c>
      <c r="B21" s="74" t="s">
        <v>967</v>
      </c>
      <c r="C21" s="27" t="n">
        <v>26302</v>
      </c>
      <c r="D21" s="27" t="s">
        <v>968</v>
      </c>
      <c r="E21" s="12" t="s">
        <v>969</v>
      </c>
      <c r="F21" s="46" t="n">
        <v>36652</v>
      </c>
      <c r="G21" s="13"/>
      <c r="H21" s="13" t="s">
        <v>617</v>
      </c>
      <c r="I21" s="13"/>
    </row>
    <row r="22" customFormat="false" ht="15.75" hidden="false" customHeight="false" outlineLevel="0" collapsed="false">
      <c r="A22" s="10" t="n">
        <v>19</v>
      </c>
      <c r="B22" s="14" t="s">
        <v>970</v>
      </c>
      <c r="C22" s="14" t="n">
        <v>26311</v>
      </c>
      <c r="D22" s="14" t="s">
        <v>971</v>
      </c>
      <c r="E22" s="11"/>
      <c r="F22" s="11"/>
      <c r="G22" s="11"/>
      <c r="H22" s="11"/>
      <c r="I22" s="11"/>
    </row>
    <row r="23" customFormat="false" ht="15.75" hidden="false" customHeight="false" outlineLevel="0" collapsed="false">
      <c r="A23" s="10" t="n">
        <v>20</v>
      </c>
      <c r="B23" s="13"/>
      <c r="C23" s="13"/>
      <c r="D23" s="13"/>
      <c r="E23" s="13"/>
      <c r="F23" s="13"/>
      <c r="G23" s="13"/>
      <c r="H23" s="13"/>
      <c r="I23" s="13"/>
    </row>
    <row r="24" customFormat="false" ht="15.75" hidden="false" customHeight="false" outlineLevel="0" collapsed="false">
      <c r="A24" s="10" t="n">
        <v>21</v>
      </c>
      <c r="B24" s="11"/>
      <c r="C24" s="11"/>
      <c r="D24" s="11"/>
      <c r="E24" s="11"/>
      <c r="F24" s="11"/>
      <c r="G24" s="11"/>
      <c r="H24" s="11"/>
      <c r="I24" s="11"/>
    </row>
    <row r="25" customFormat="false" ht="15.75" hidden="false" customHeight="false" outlineLevel="0" collapsed="false">
      <c r="A25" s="10" t="n">
        <v>22</v>
      </c>
      <c r="B25" s="13"/>
      <c r="C25" s="13"/>
      <c r="D25" s="13"/>
      <c r="E25" s="13"/>
      <c r="F25" s="13"/>
      <c r="G25" s="13"/>
      <c r="H25" s="13"/>
      <c r="I25" s="13"/>
    </row>
    <row r="26" customFormat="false" ht="15.75" hidden="false" customHeight="false" outlineLevel="0" collapsed="false">
      <c r="A26" s="10" t="n">
        <v>23</v>
      </c>
      <c r="B26" s="11"/>
      <c r="C26" s="11"/>
      <c r="D26" s="11"/>
      <c r="E26" s="11"/>
      <c r="F26" s="11"/>
      <c r="G26" s="11"/>
      <c r="H26" s="11"/>
      <c r="I26" s="11"/>
    </row>
    <row r="27" customFormat="false" ht="15.75" hidden="false" customHeight="false" outlineLevel="0" collapsed="false">
      <c r="A27" s="10"/>
      <c r="B27" s="13"/>
      <c r="C27" s="13"/>
      <c r="D27" s="13"/>
      <c r="E27" s="13"/>
      <c r="F27" s="13"/>
      <c r="G27" s="13"/>
      <c r="H27" s="13"/>
      <c r="I27" s="13"/>
    </row>
    <row r="28" customFormat="false" ht="15.75" hidden="false" customHeight="false" outlineLevel="0" collapsed="false">
      <c r="A28" s="10"/>
      <c r="B28" s="11"/>
      <c r="C28" s="11"/>
      <c r="D28" s="11"/>
      <c r="E28" s="11"/>
      <c r="F28" s="11"/>
      <c r="G28" s="11"/>
      <c r="H28" s="11"/>
      <c r="I28" s="11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</row>
    <row r="47" customFormat="false" ht="15.75" hidden="false" customHeight="false" outlineLevel="0" collapsed="false">
      <c r="H47" s="14"/>
      <c r="I47" s="14"/>
      <c r="J47" s="14"/>
      <c r="K47" s="14"/>
      <c r="L47" s="14"/>
      <c r="M47" s="101"/>
      <c r="N47" s="14"/>
      <c r="O47" s="14"/>
      <c r="P47" s="14"/>
      <c r="Q47" s="14"/>
    </row>
    <row r="48" customFormat="false" ht="15.75" hidden="false" customHeight="false" outlineLevel="0" collapsed="false">
      <c r="H48" s="14"/>
      <c r="I48" s="14"/>
      <c r="J48" s="14"/>
      <c r="K48" s="14"/>
      <c r="L48" s="14"/>
      <c r="M48" s="101"/>
      <c r="N48" s="14"/>
      <c r="O48" s="14"/>
      <c r="P48" s="14"/>
      <c r="Q48" s="14"/>
    </row>
    <row r="49" customFormat="false" ht="15.75" hidden="false" customHeight="false" outlineLevel="0" collapsed="false">
      <c r="F49" s="14"/>
      <c r="H49" s="14"/>
      <c r="I49" s="14"/>
      <c r="J49" s="14"/>
      <c r="K49" s="14"/>
      <c r="L49" s="14"/>
      <c r="M49" s="101"/>
      <c r="N49" s="14"/>
      <c r="O49" s="14"/>
      <c r="P49" s="14"/>
      <c r="Q49" s="14"/>
    </row>
    <row r="50" customFormat="false" ht="15.75" hidden="false" customHeight="false" outlineLevel="0" collapsed="false">
      <c r="F50" s="14"/>
      <c r="H50" s="14"/>
      <c r="I50" s="14"/>
      <c r="J50" s="14"/>
      <c r="K50" s="14"/>
      <c r="L50" s="14"/>
      <c r="M50" s="101"/>
      <c r="N50" s="14"/>
      <c r="O50" s="14"/>
      <c r="P50" s="14"/>
      <c r="Q50" s="14"/>
    </row>
    <row r="51" customFormat="false" ht="15.75" hidden="false" customHeight="false" outlineLevel="0" collapsed="false">
      <c r="F51" s="14"/>
      <c r="H51" s="14"/>
      <c r="I51" s="14"/>
      <c r="J51" s="14"/>
      <c r="K51" s="14"/>
      <c r="L51" s="14"/>
      <c r="M51" s="101"/>
      <c r="N51" s="14"/>
      <c r="O51" s="14"/>
      <c r="P51" s="14"/>
      <c r="Q51" s="14"/>
    </row>
    <row r="52" customFormat="false" ht="15.75" hidden="false" customHeight="false" outlineLevel="0" collapsed="false">
      <c r="F52" s="14"/>
      <c r="H52" s="14"/>
      <c r="I52" s="14"/>
      <c r="J52" s="14"/>
      <c r="K52" s="14"/>
      <c r="L52" s="14"/>
      <c r="M52" s="101"/>
      <c r="N52" s="14"/>
      <c r="O52" s="14"/>
      <c r="P52" s="14"/>
      <c r="Q52" s="14"/>
    </row>
    <row r="53" customFormat="false" ht="15.75" hidden="false" customHeight="false" outlineLevel="0" collapsed="false">
      <c r="F53" s="14"/>
      <c r="H53" s="14"/>
      <c r="I53" s="14"/>
      <c r="J53" s="14"/>
      <c r="K53" s="14"/>
      <c r="L53" s="14"/>
      <c r="M53" s="101"/>
      <c r="N53" s="14"/>
      <c r="O53" s="14"/>
      <c r="P53" s="14"/>
      <c r="Q53" s="14"/>
    </row>
    <row r="54" customFormat="false" ht="15.75" hidden="false" customHeight="false" outlineLevel="0" collapsed="false">
      <c r="F54" s="101"/>
      <c r="H54" s="14"/>
      <c r="I54" s="14"/>
      <c r="J54" s="14"/>
      <c r="K54" s="14"/>
      <c r="L54" s="14"/>
      <c r="M54" s="101"/>
      <c r="N54" s="14"/>
      <c r="O54" s="14"/>
      <c r="P54" s="14"/>
      <c r="Q54" s="14"/>
    </row>
    <row r="55" customFormat="false" ht="15.75" hidden="false" customHeight="false" outlineLevel="0" collapsed="false">
      <c r="F55" s="14"/>
      <c r="H55" s="14"/>
      <c r="I55" s="14"/>
      <c r="J55" s="14"/>
      <c r="K55" s="14"/>
      <c r="L55" s="14"/>
      <c r="M55" s="101"/>
      <c r="N55" s="14"/>
      <c r="O55" s="14"/>
      <c r="P55" s="14"/>
      <c r="Q55" s="14"/>
    </row>
    <row r="56" customFormat="false" ht="15.75" hidden="false" customHeight="false" outlineLevel="0" collapsed="false">
      <c r="F56" s="14"/>
      <c r="H56" s="14"/>
      <c r="I56" s="14"/>
      <c r="J56" s="14"/>
      <c r="K56" s="14"/>
      <c r="L56" s="14"/>
      <c r="M56" s="101"/>
      <c r="N56" s="14"/>
      <c r="O56" s="14"/>
      <c r="P56" s="14"/>
      <c r="Q56" s="14"/>
    </row>
    <row r="57" customFormat="false" ht="15.75" hidden="false" customHeight="false" outlineLevel="0" collapsed="false">
      <c r="F57" s="14"/>
    </row>
    <row r="58" customFormat="false" ht="15.75" hidden="false" customHeight="false" outlineLevel="0" collapsed="false">
      <c r="F58" s="14"/>
    </row>
  </sheetData>
  <mergeCells count="3">
    <mergeCell ref="A2:I2"/>
    <mergeCell ref="A3:E3"/>
    <mergeCell ref="F3:I3"/>
  </mergeCells>
  <dataValidations count="1">
    <dataValidation allowBlank="true" errorStyle="stop" operator="between" showDropDown="true" showErrorMessage="true" showInputMessage="false" sqref="F7 F17:F20" type="custom">
      <formula1>OR(NOT(ISERROR(DATEVALUE(F7))), AND(ISNUMBER(F7), LEFT(CELL("format", F7))="D"))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13"/>
    <col collapsed="false" customWidth="true" hidden="false" outlineLevel="0" max="4" min="4" style="0" width="24.25"/>
    <col collapsed="false" customWidth="true" hidden="false" outlineLevel="0" max="5" min="5" style="0" width="24.38"/>
    <col collapsed="false" customWidth="true" hidden="false" outlineLevel="0" max="6" min="6" style="0" width="16.75"/>
    <col collapsed="false" customWidth="true" hidden="false" outlineLevel="0" max="7" min="7" style="0" width="16.12"/>
    <col collapsed="false" customWidth="true" hidden="false" outlineLevel="0" max="8" min="8" style="0" width="17"/>
    <col collapsed="false" customWidth="true" hidden="false" outlineLevel="0" max="9" min="9" style="0" width="22.5"/>
  </cols>
  <sheetData>
    <row r="1" customFormat="false" ht="29.1" hidden="false" customHeight="false" outlineLevel="0" collapsed="false">
      <c r="A1" s="4" t="s">
        <v>972</v>
      </c>
      <c r="B1" s="4"/>
      <c r="C1" s="4"/>
      <c r="D1" s="4"/>
      <c r="E1" s="4"/>
      <c r="F1" s="4"/>
      <c r="G1" s="4"/>
      <c r="H1" s="4"/>
      <c r="I1" s="4"/>
    </row>
    <row r="2" customFormat="false" ht="17.35" hidden="false" customHeight="false" outlineLevel="0" collapsed="false">
      <c r="A2" s="6" t="s">
        <v>973</v>
      </c>
      <c r="B2" s="6"/>
      <c r="C2" s="6"/>
      <c r="D2" s="6"/>
      <c r="E2" s="6"/>
      <c r="F2" s="6"/>
      <c r="G2" s="6"/>
      <c r="H2" s="6"/>
      <c r="I2" s="6"/>
    </row>
    <row r="3" customFormat="false" ht="17.35" hidden="false" customHeight="false" outlineLevel="0" collapsed="false">
      <c r="A3" s="6" t="s">
        <v>974</v>
      </c>
      <c r="B3" s="6"/>
      <c r="C3" s="6"/>
      <c r="D3" s="6"/>
      <c r="E3" s="6"/>
      <c r="F3" s="6" t="s">
        <v>975</v>
      </c>
      <c r="G3" s="6"/>
      <c r="H3" s="6"/>
      <c r="I3" s="6"/>
    </row>
    <row r="4" customFormat="false" ht="17.35" hidden="false" customHeight="false" outlineLevel="0" collapsed="false">
      <c r="A4" s="7" t="s">
        <v>48</v>
      </c>
      <c r="B4" s="8" t="s">
        <v>4</v>
      </c>
      <c r="C4" s="9" t="s">
        <v>49</v>
      </c>
      <c r="D4" s="8" t="s">
        <v>5</v>
      </c>
      <c r="E4" s="8" t="s">
        <v>6</v>
      </c>
      <c r="F4" s="8" t="s">
        <v>50</v>
      </c>
      <c r="G4" s="8" t="s">
        <v>51</v>
      </c>
      <c r="H4" s="7" t="s">
        <v>577</v>
      </c>
      <c r="I4" s="8" t="s">
        <v>53</v>
      </c>
    </row>
    <row r="5" customFormat="false" ht="15.75" hidden="false" customHeight="false" outlineLevel="0" collapsed="false">
      <c r="A5" s="10" t="n">
        <v>1</v>
      </c>
      <c r="B5" s="14" t="s">
        <v>976</v>
      </c>
      <c r="C5" s="38" t="n">
        <v>26266</v>
      </c>
      <c r="D5" s="121" t="s">
        <v>977</v>
      </c>
      <c r="E5" s="121" t="s">
        <v>978</v>
      </c>
      <c r="F5" s="47" t="n">
        <v>36203</v>
      </c>
      <c r="G5" s="14" t="s">
        <v>979</v>
      </c>
      <c r="H5" s="27" t="s">
        <v>617</v>
      </c>
      <c r="I5" s="11"/>
    </row>
    <row r="6" customFormat="false" ht="15.75" hidden="false" customHeight="false" outlineLevel="0" collapsed="false">
      <c r="A6" s="10" t="n">
        <v>2</v>
      </c>
      <c r="B6" s="12" t="s">
        <v>980</v>
      </c>
      <c r="C6" s="38" t="n">
        <v>26257</v>
      </c>
      <c r="D6" s="123" t="s">
        <v>981</v>
      </c>
      <c r="E6" s="122" t="s">
        <v>982</v>
      </c>
      <c r="F6" s="12" t="s">
        <v>983</v>
      </c>
      <c r="G6" s="12" t="s">
        <v>979</v>
      </c>
      <c r="H6" s="12"/>
      <c r="I6" s="13"/>
    </row>
    <row r="7" customFormat="false" ht="15.75" hidden="false" customHeight="false" outlineLevel="0" collapsed="false">
      <c r="A7" s="10" t="n">
        <v>3</v>
      </c>
      <c r="B7" s="14" t="s">
        <v>984</v>
      </c>
      <c r="C7" s="38" t="n">
        <v>26258</v>
      </c>
      <c r="D7" s="123" t="s">
        <v>985</v>
      </c>
      <c r="E7" s="121" t="s">
        <v>986</v>
      </c>
      <c r="F7" s="14" t="s">
        <v>987</v>
      </c>
      <c r="G7" s="14" t="s">
        <v>988</v>
      </c>
      <c r="H7" s="14"/>
      <c r="I7" s="11"/>
    </row>
    <row r="8" customFormat="false" ht="15.75" hidden="false" customHeight="false" outlineLevel="0" collapsed="false">
      <c r="A8" s="10" t="n">
        <v>4</v>
      </c>
      <c r="B8" s="12" t="s">
        <v>989</v>
      </c>
      <c r="C8" s="38" t="n">
        <v>26273</v>
      </c>
      <c r="D8" s="122" t="s">
        <v>990</v>
      </c>
      <c r="E8" s="122" t="s">
        <v>991</v>
      </c>
      <c r="F8" s="126" t="n">
        <v>38760</v>
      </c>
      <c r="G8" s="12" t="s">
        <v>979</v>
      </c>
      <c r="H8" s="12" t="s">
        <v>836</v>
      </c>
      <c r="I8" s="13"/>
    </row>
    <row r="9" customFormat="false" ht="15.75" hidden="false" customHeight="false" outlineLevel="0" collapsed="false">
      <c r="A9" s="10" t="n">
        <v>5</v>
      </c>
      <c r="B9" s="12" t="s">
        <v>992</v>
      </c>
      <c r="C9" s="38" t="n">
        <v>26259</v>
      </c>
      <c r="D9" s="122" t="s">
        <v>993</v>
      </c>
      <c r="E9" s="122" t="s">
        <v>994</v>
      </c>
      <c r="F9" s="46" t="n">
        <v>37692</v>
      </c>
      <c r="G9" s="12" t="s">
        <v>979</v>
      </c>
      <c r="H9" s="12" t="s">
        <v>617</v>
      </c>
      <c r="I9" s="13"/>
    </row>
    <row r="10" customFormat="false" ht="15.75" hidden="false" customHeight="false" outlineLevel="0" collapsed="false">
      <c r="A10" s="10" t="n">
        <v>6</v>
      </c>
      <c r="B10" s="12" t="s">
        <v>995</v>
      </c>
      <c r="C10" s="38" t="n">
        <v>26274</v>
      </c>
      <c r="D10" s="122" t="s">
        <v>996</v>
      </c>
      <c r="E10" s="122" t="s">
        <v>997</v>
      </c>
      <c r="F10" s="12" t="s">
        <v>657</v>
      </c>
      <c r="G10" s="12" t="s">
        <v>979</v>
      </c>
      <c r="H10" s="12" t="s">
        <v>617</v>
      </c>
      <c r="I10" s="13"/>
    </row>
    <row r="11" customFormat="false" ht="15.75" hidden="false" customHeight="false" outlineLevel="0" collapsed="false">
      <c r="A11" s="10" t="n">
        <v>7</v>
      </c>
      <c r="B11" s="14" t="s">
        <v>998</v>
      </c>
      <c r="C11" s="38" t="n">
        <v>26261</v>
      </c>
      <c r="D11" s="121" t="s">
        <v>999</v>
      </c>
      <c r="E11" s="121" t="s">
        <v>1000</v>
      </c>
      <c r="F11" s="14" t="s">
        <v>1001</v>
      </c>
      <c r="G11" s="12" t="s">
        <v>979</v>
      </c>
      <c r="H11" s="14" t="s">
        <v>584</v>
      </c>
      <c r="I11" s="11"/>
    </row>
    <row r="12" customFormat="false" ht="15.75" hidden="false" customHeight="false" outlineLevel="0" collapsed="false">
      <c r="A12" s="10" t="n">
        <v>8</v>
      </c>
      <c r="B12" s="12" t="s">
        <v>1002</v>
      </c>
      <c r="C12" s="12" t="n">
        <v>26262</v>
      </c>
      <c r="D12" s="123" t="s">
        <v>1003</v>
      </c>
      <c r="E12" s="127" t="s">
        <v>1004</v>
      </c>
      <c r="F12" s="12" t="s">
        <v>1005</v>
      </c>
      <c r="G12" s="12" t="s">
        <v>1006</v>
      </c>
      <c r="H12" s="12" t="s">
        <v>697</v>
      </c>
      <c r="I12" s="13"/>
    </row>
    <row r="13" customFormat="false" ht="15.75" hidden="false" customHeight="false" outlineLevel="0" collapsed="false">
      <c r="A13" s="10" t="n">
        <v>9</v>
      </c>
      <c r="B13" s="12" t="s">
        <v>1007</v>
      </c>
      <c r="C13" s="74" t="n">
        <v>26263</v>
      </c>
      <c r="D13" s="123" t="s">
        <v>1008</v>
      </c>
      <c r="E13" s="122" t="s">
        <v>1009</v>
      </c>
      <c r="F13" s="46" t="n">
        <v>40033</v>
      </c>
      <c r="G13" s="12" t="s">
        <v>979</v>
      </c>
      <c r="H13" s="12"/>
      <c r="I13" s="13"/>
    </row>
    <row r="14" customFormat="false" ht="15.75" hidden="false" customHeight="false" outlineLevel="0" collapsed="false">
      <c r="A14" s="10" t="n">
        <v>10</v>
      </c>
      <c r="B14" s="12" t="s">
        <v>1010</v>
      </c>
      <c r="C14" s="12" t="n">
        <v>26276</v>
      </c>
      <c r="D14" s="122" t="s">
        <v>1011</v>
      </c>
      <c r="E14" s="122" t="s">
        <v>1012</v>
      </c>
      <c r="F14" s="46" t="n">
        <v>36444</v>
      </c>
      <c r="G14" s="12" t="s">
        <v>979</v>
      </c>
      <c r="H14" s="12" t="s">
        <v>617</v>
      </c>
      <c r="I14" s="13"/>
    </row>
    <row r="15" customFormat="false" ht="15.75" hidden="false" customHeight="false" outlineLevel="0" collapsed="false">
      <c r="A15" s="10" t="n">
        <v>11</v>
      </c>
      <c r="B15" s="38" t="s">
        <v>1013</v>
      </c>
      <c r="C15" s="14" t="n">
        <v>26277</v>
      </c>
      <c r="D15" s="121" t="s">
        <v>1014</v>
      </c>
      <c r="E15" s="121" t="s">
        <v>1015</v>
      </c>
      <c r="F15" s="14" t="s">
        <v>1016</v>
      </c>
      <c r="G15" s="11"/>
      <c r="H15" s="14" t="s">
        <v>617</v>
      </c>
      <c r="I15" s="11"/>
    </row>
    <row r="16" customFormat="false" ht="15.75" hidden="false" customHeight="false" outlineLevel="0" collapsed="false">
      <c r="A16" s="10" t="n">
        <v>12</v>
      </c>
      <c r="B16" s="12" t="s">
        <v>1017</v>
      </c>
      <c r="C16" s="68" t="n">
        <v>26239</v>
      </c>
      <c r="D16" s="112" t="s">
        <v>261</v>
      </c>
      <c r="E16" s="122" t="s">
        <v>1018</v>
      </c>
      <c r="F16" s="46" t="n">
        <v>36444</v>
      </c>
      <c r="G16" s="13"/>
      <c r="H16" s="12"/>
      <c r="I16" s="13"/>
    </row>
    <row r="17" customFormat="false" ht="15.75" hidden="false" customHeight="false" outlineLevel="0" collapsed="false">
      <c r="A17" s="10" t="n">
        <v>13</v>
      </c>
      <c r="B17" s="14" t="s">
        <v>1019</v>
      </c>
      <c r="C17" s="38" t="n">
        <v>26251</v>
      </c>
      <c r="D17" s="121" t="s">
        <v>1020</v>
      </c>
      <c r="E17" s="121"/>
      <c r="F17" s="11"/>
      <c r="G17" s="11"/>
      <c r="H17" s="14"/>
      <c r="I17" s="11"/>
    </row>
    <row r="18" customFormat="false" ht="15.75" hidden="false" customHeight="false" outlineLevel="0" collapsed="false">
      <c r="A18" s="91" t="n">
        <v>14</v>
      </c>
      <c r="B18" s="91" t="s">
        <v>1021</v>
      </c>
      <c r="C18" s="91" t="n">
        <v>26322</v>
      </c>
      <c r="D18" s="128" t="s">
        <v>1022</v>
      </c>
      <c r="E18" s="128" t="s">
        <v>1023</v>
      </c>
      <c r="F18" s="91" t="s">
        <v>1024</v>
      </c>
      <c r="G18" s="91" t="s">
        <v>1025</v>
      </c>
      <c r="H18" s="91" t="s">
        <v>587</v>
      </c>
      <c r="I18" s="125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5.75" hidden="false" customHeight="false" outlineLevel="0" collapsed="false">
      <c r="A19" s="14" t="n">
        <v>15</v>
      </c>
      <c r="B19" s="20" t="s">
        <v>1026</v>
      </c>
      <c r="C19" s="20" t="n">
        <v>26272</v>
      </c>
      <c r="D19" s="21" t="s">
        <v>1027</v>
      </c>
      <c r="E19" s="129"/>
      <c r="F19" s="97" t="n">
        <v>37814</v>
      </c>
      <c r="G19" s="29"/>
      <c r="H19" s="20" t="s">
        <v>707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5.75" hidden="false" customHeight="false" outlineLevel="0" collapsed="false">
      <c r="A20" s="91" t="n">
        <v>16</v>
      </c>
      <c r="B20" s="125" t="s">
        <v>1028</v>
      </c>
      <c r="C20" s="91" t="n">
        <v>26319</v>
      </c>
      <c r="D20" s="128" t="s">
        <v>1029</v>
      </c>
      <c r="E20" s="128" t="s">
        <v>1030</v>
      </c>
      <c r="F20" s="91" t="s">
        <v>1031</v>
      </c>
      <c r="G20" s="91" t="s">
        <v>979</v>
      </c>
      <c r="H20" s="91" t="s">
        <v>617</v>
      </c>
      <c r="I20" s="114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>
      <c r="M25" s="22" t="s">
        <v>56</v>
      </c>
    </row>
  </sheetData>
  <mergeCells count="4">
    <mergeCell ref="A1:I1"/>
    <mergeCell ref="A2:I2"/>
    <mergeCell ref="A3:E3"/>
    <mergeCell ref="F3:I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0.12"/>
    <col collapsed="false" customWidth="true" hidden="false" outlineLevel="0" max="3" min="3" style="0" width="14.63"/>
    <col collapsed="false" customWidth="true" hidden="false" outlineLevel="0" max="4" min="4" style="0" width="21.25"/>
    <col collapsed="false" customWidth="true" hidden="false" outlineLevel="0" max="5" min="5" style="0" width="20.63"/>
    <col collapsed="false" customWidth="true" hidden="false" outlineLevel="0" max="6" min="6" style="0" width="17.25"/>
    <col collapsed="false" customWidth="true" hidden="false" outlineLevel="0" max="7" min="7" style="0" width="17"/>
    <col collapsed="false" customWidth="true" hidden="false" outlineLevel="0" max="8" min="8" style="0" width="23.13"/>
    <col collapsed="false" customWidth="true" hidden="false" outlineLevel="0" max="9" min="9" style="0" width="19.51"/>
  </cols>
  <sheetData>
    <row r="1" customFormat="false" ht="25.35" hidden="false" customHeight="false" outlineLevel="0" collapsed="false">
      <c r="A1" s="37" t="s">
        <v>1032</v>
      </c>
      <c r="B1" s="37"/>
      <c r="C1" s="37"/>
      <c r="D1" s="37"/>
      <c r="E1" s="37"/>
      <c r="F1" s="37"/>
      <c r="G1" s="37"/>
      <c r="H1" s="37"/>
      <c r="I1" s="37"/>
    </row>
    <row r="2" customFormat="false" ht="17.35" hidden="false" customHeight="false" outlineLevel="0" collapsed="false">
      <c r="A2" s="6" t="s">
        <v>1033</v>
      </c>
      <c r="B2" s="6"/>
      <c r="C2" s="6"/>
      <c r="D2" s="6"/>
      <c r="E2" s="6"/>
      <c r="F2" s="6" t="s">
        <v>935</v>
      </c>
      <c r="G2" s="6"/>
      <c r="H2" s="6"/>
      <c r="I2" s="6"/>
    </row>
    <row r="3" customFormat="false" ht="17.35" hidden="false" customHeight="false" outlineLevel="0" collapsed="false">
      <c r="A3" s="8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51</v>
      </c>
      <c r="H3" s="8" t="s">
        <v>577</v>
      </c>
      <c r="I3" s="8" t="s">
        <v>53</v>
      </c>
    </row>
    <row r="4" customFormat="false" ht="15.75" hidden="false" customHeight="false" outlineLevel="0" collapsed="false">
      <c r="A4" s="38" t="n">
        <v>1</v>
      </c>
      <c r="B4" s="14" t="s">
        <v>1034</v>
      </c>
      <c r="C4" s="14" t="n">
        <v>26249</v>
      </c>
      <c r="D4" s="14" t="s">
        <v>1035</v>
      </c>
      <c r="E4" s="14"/>
      <c r="F4" s="47" t="n">
        <v>38602</v>
      </c>
      <c r="G4" s="14"/>
      <c r="H4" s="14" t="s">
        <v>587</v>
      </c>
      <c r="I4" s="14"/>
    </row>
    <row r="5" customFormat="false" ht="15.75" hidden="false" customHeight="false" outlineLevel="0" collapsed="false">
      <c r="A5" s="38" t="n">
        <v>2</v>
      </c>
      <c r="B5" s="20" t="s">
        <v>694</v>
      </c>
      <c r="C5" s="20" t="n">
        <v>25147</v>
      </c>
      <c r="D5" s="20" t="s">
        <v>695</v>
      </c>
      <c r="E5" s="20" t="s">
        <v>696</v>
      </c>
      <c r="F5" s="60" t="s">
        <v>698</v>
      </c>
      <c r="H5" s="20" t="s">
        <v>697</v>
      </c>
      <c r="I5" s="12"/>
    </row>
    <row r="6" customFormat="false" ht="15.75" hidden="false" customHeight="false" outlineLevel="0" collapsed="false">
      <c r="A6" s="38" t="n">
        <v>3</v>
      </c>
      <c r="B6" s="20" t="s">
        <v>720</v>
      </c>
      <c r="C6" s="20" t="n">
        <v>25162</v>
      </c>
      <c r="D6" s="20" t="s">
        <v>721</v>
      </c>
      <c r="E6" s="20" t="s">
        <v>722</v>
      </c>
      <c r="F6" s="60" t="n">
        <v>39727</v>
      </c>
      <c r="H6" s="20" t="s">
        <v>697</v>
      </c>
    </row>
    <row r="7" customFormat="false" ht="15.75" hidden="false" customHeight="false" outlineLevel="0" collapsed="false">
      <c r="A7" s="38" t="n">
        <v>4</v>
      </c>
      <c r="B7" s="27" t="s">
        <v>723</v>
      </c>
      <c r="C7" s="27" t="n">
        <v>25156</v>
      </c>
      <c r="D7" s="27" t="s">
        <v>724</v>
      </c>
      <c r="E7" s="27"/>
      <c r="F7" s="65" t="s">
        <v>725</v>
      </c>
      <c r="H7" s="12"/>
      <c r="I7" s="12"/>
    </row>
    <row r="8" customFormat="false" ht="15.75" hidden="false" customHeight="false" outlineLevel="0" collapsed="false">
      <c r="A8" s="38" t="n">
        <v>5</v>
      </c>
      <c r="B8" s="61" t="s">
        <v>726</v>
      </c>
      <c r="C8" s="61" t="n">
        <v>25159</v>
      </c>
      <c r="D8" s="61" t="s">
        <v>137</v>
      </c>
      <c r="E8" s="61" t="s">
        <v>727</v>
      </c>
      <c r="F8" s="63" t="s">
        <v>728</v>
      </c>
      <c r="H8" s="61" t="s">
        <v>587</v>
      </c>
      <c r="I8" s="14"/>
    </row>
    <row r="9" customFormat="false" ht="15.75" hidden="false" customHeight="false" outlineLevel="0" collapsed="false">
      <c r="A9" s="38" t="n">
        <v>6</v>
      </c>
      <c r="B9" s="27" t="s">
        <v>769</v>
      </c>
      <c r="C9" s="27" t="n">
        <v>25171</v>
      </c>
      <c r="D9" s="27" t="s">
        <v>143</v>
      </c>
      <c r="E9" s="27" t="s">
        <v>770</v>
      </c>
      <c r="F9" s="65" t="n">
        <v>39060</v>
      </c>
      <c r="H9" s="27" t="s">
        <v>584</v>
      </c>
      <c r="I9" s="12"/>
    </row>
    <row r="10" customFormat="false" ht="15.75" hidden="false" customHeight="false" outlineLevel="0" collapsed="false">
      <c r="A10" s="38" t="n">
        <v>7</v>
      </c>
      <c r="B10" s="27" t="s">
        <v>639</v>
      </c>
      <c r="C10" s="27" t="n">
        <v>223</v>
      </c>
      <c r="D10" s="27" t="s">
        <v>640</v>
      </c>
      <c r="E10" s="49"/>
      <c r="F10" s="45" t="n">
        <v>36623</v>
      </c>
      <c r="I10" s="14"/>
    </row>
    <row r="11" customFormat="false" ht="15.75" hidden="false" customHeight="false" outlineLevel="0" collapsed="false">
      <c r="A11" s="38" t="n">
        <v>8</v>
      </c>
      <c r="B11" s="20" t="s">
        <v>713</v>
      </c>
      <c r="C11" s="20" t="n">
        <v>25153</v>
      </c>
      <c r="D11" s="38" t="s">
        <v>131</v>
      </c>
      <c r="E11" s="20" t="s">
        <v>714</v>
      </c>
      <c r="F11" s="60" t="n">
        <v>37408</v>
      </c>
      <c r="H11" s="20" t="s">
        <v>587</v>
      </c>
      <c r="I11" s="12"/>
    </row>
    <row r="12" customFormat="false" ht="15.75" hidden="false" customHeight="false" outlineLevel="0" collapsed="false">
      <c r="A12" s="38" t="n">
        <v>9</v>
      </c>
      <c r="B12" s="14" t="s">
        <v>515</v>
      </c>
      <c r="C12" s="14" t="n">
        <v>199</v>
      </c>
      <c r="D12" s="14" t="s">
        <v>1036</v>
      </c>
      <c r="E12" s="14"/>
      <c r="F12" s="14"/>
      <c r="G12" s="14"/>
      <c r="H12" s="14"/>
      <c r="I12" s="14"/>
    </row>
    <row r="13" customFormat="false" ht="15.75" hidden="false" customHeight="false" outlineLevel="0" collapsed="false">
      <c r="A13" s="38" t="n">
        <v>10</v>
      </c>
      <c r="B13" s="40"/>
      <c r="C13" s="12"/>
      <c r="D13" s="12"/>
      <c r="E13" s="12"/>
      <c r="F13" s="41"/>
      <c r="G13" s="12"/>
      <c r="H13" s="12"/>
      <c r="I13" s="12"/>
    </row>
    <row r="14" customFormat="false" ht="15.75" hidden="false" customHeight="false" outlineLevel="0" collapsed="false">
      <c r="A14" s="38" t="n">
        <v>11</v>
      </c>
      <c r="B14" s="39"/>
      <c r="C14" s="14"/>
      <c r="D14" s="14"/>
      <c r="E14" s="14"/>
      <c r="F14" s="42"/>
      <c r="G14" s="14"/>
      <c r="H14" s="14"/>
      <c r="I14" s="14"/>
    </row>
    <row r="15" customFormat="false" ht="15.75" hidden="false" customHeight="false" outlineLevel="0" collapsed="false">
      <c r="A15" s="38" t="n">
        <v>12</v>
      </c>
      <c r="B15" s="40"/>
      <c r="C15" s="12"/>
      <c r="D15" s="12"/>
      <c r="E15" s="12"/>
      <c r="F15" s="12"/>
      <c r="G15" s="12"/>
      <c r="H15" s="12"/>
      <c r="I15" s="12"/>
    </row>
    <row r="16" customFormat="false" ht="15.75" hidden="false" customHeight="false" outlineLevel="0" collapsed="false">
      <c r="A16" s="38" t="n">
        <v>13</v>
      </c>
      <c r="B16" s="39"/>
      <c r="C16" s="14"/>
      <c r="D16" s="14"/>
      <c r="E16" s="14"/>
      <c r="F16" s="14"/>
      <c r="G16" s="14"/>
      <c r="H16" s="14"/>
      <c r="I16" s="14"/>
    </row>
    <row r="17" customFormat="false" ht="15.75" hidden="false" customHeight="false" outlineLevel="0" collapsed="false">
      <c r="A17" s="38" t="n">
        <v>14</v>
      </c>
      <c r="B17" s="39"/>
      <c r="C17" s="14"/>
      <c r="D17" s="14"/>
      <c r="E17" s="14"/>
      <c r="F17" s="14"/>
      <c r="G17" s="14"/>
      <c r="H17" s="14"/>
      <c r="I17" s="14"/>
    </row>
    <row r="18" customFormat="false" ht="15.75" hidden="false" customHeight="false" outlineLevel="0" collapsed="false">
      <c r="A18" s="38" t="n">
        <v>15</v>
      </c>
      <c r="B18" s="39"/>
      <c r="C18" s="14"/>
      <c r="D18" s="14"/>
      <c r="E18" s="14"/>
      <c r="F18" s="14"/>
      <c r="G18" s="14"/>
      <c r="H18" s="14"/>
      <c r="I18" s="14"/>
    </row>
    <row r="19" customFormat="false" ht="15.75" hidden="false" customHeight="false" outlineLevel="0" collapsed="false">
      <c r="A19" s="38" t="s">
        <v>1037</v>
      </c>
      <c r="B19" s="39"/>
      <c r="C19" s="14"/>
      <c r="D19" s="14"/>
      <c r="E19" s="14"/>
      <c r="F19" s="42"/>
      <c r="G19" s="14"/>
      <c r="H19" s="14"/>
      <c r="I19" s="14"/>
    </row>
  </sheetData>
  <mergeCells count="3">
    <mergeCell ref="A1:I1"/>
    <mergeCell ref="A2:E2"/>
    <mergeCell ref="F2:I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2.5"/>
    <col collapsed="false" customWidth="true" hidden="false" outlineLevel="0" max="4" min="3" style="0" width="18.25"/>
    <col collapsed="false" customWidth="true" hidden="false" outlineLevel="0" max="5" min="5" style="0" width="21.75"/>
    <col collapsed="false" customWidth="true" hidden="false" outlineLevel="0" max="6" min="6" style="0" width="21"/>
    <col collapsed="false" customWidth="true" hidden="false" outlineLevel="0" max="7" min="7" style="0" width="17.88"/>
    <col collapsed="false" customWidth="true" hidden="false" outlineLevel="0" max="8" min="8" style="0" width="20.25"/>
    <col collapsed="false" customWidth="true" hidden="false" outlineLevel="0" max="10" min="9" style="0" width="24.75"/>
  </cols>
  <sheetData>
    <row r="1" customFormat="false" ht="29.1" hidden="false" customHeight="false" outlineLevel="0" collapsed="false">
      <c r="A1" s="4" t="s">
        <v>1038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7.35" hidden="false" customHeight="false" outlineLevel="0" collapsed="false">
      <c r="A2" s="6" t="s">
        <v>1039</v>
      </c>
      <c r="B2" s="6"/>
      <c r="C2" s="6"/>
      <c r="D2" s="6"/>
      <c r="E2" s="6"/>
      <c r="F2" s="6"/>
      <c r="G2" s="6" t="s">
        <v>811</v>
      </c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7.35" hidden="false" customHeight="false" outlineLevel="0" collapsed="false">
      <c r="A3" s="7" t="s">
        <v>48</v>
      </c>
      <c r="B3" s="8" t="s">
        <v>4</v>
      </c>
      <c r="C3" s="130" t="s">
        <v>1040</v>
      </c>
      <c r="D3" s="9" t="s">
        <v>49</v>
      </c>
      <c r="E3" s="8" t="s">
        <v>5</v>
      </c>
      <c r="F3" s="8" t="s">
        <v>6</v>
      </c>
      <c r="G3" s="8" t="s">
        <v>50</v>
      </c>
      <c r="H3" s="8" t="s">
        <v>51</v>
      </c>
      <c r="I3" s="7" t="s">
        <v>577</v>
      </c>
      <c r="J3" s="8" t="s">
        <v>53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5.75" hidden="false" customHeight="false" outlineLevel="0" collapsed="false">
      <c r="A4" s="10" t="n">
        <v>1</v>
      </c>
      <c r="B4" s="13" t="s">
        <v>345</v>
      </c>
      <c r="C4" s="74" t="s">
        <v>689</v>
      </c>
      <c r="D4" s="12" t="n">
        <v>25201</v>
      </c>
      <c r="E4" s="13"/>
      <c r="F4" s="13"/>
      <c r="G4" s="13"/>
      <c r="H4" s="13"/>
      <c r="I4" s="13"/>
      <c r="J4" s="1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.75" hidden="false" customHeight="false" outlineLevel="0" collapsed="false">
      <c r="A5" s="10" t="n">
        <v>2</v>
      </c>
      <c r="B5" s="14" t="s">
        <v>1041</v>
      </c>
      <c r="C5" s="74" t="s">
        <v>689</v>
      </c>
      <c r="D5" s="14" t="n">
        <v>25214</v>
      </c>
      <c r="E5" s="27" t="s">
        <v>187</v>
      </c>
      <c r="F5" s="14" t="s">
        <v>868</v>
      </c>
      <c r="G5" s="86" t="n">
        <v>38247</v>
      </c>
      <c r="I5" s="11" t="s">
        <v>617</v>
      </c>
      <c r="J5" s="1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customFormat="false" ht="17.25" hidden="false" customHeight="true" outlineLevel="0" collapsed="false">
      <c r="A6" s="10" t="n">
        <v>3</v>
      </c>
      <c r="B6" s="12" t="s">
        <v>1042</v>
      </c>
      <c r="D6" s="12" t="n">
        <v>25206</v>
      </c>
      <c r="E6" s="27" t="s">
        <v>177</v>
      </c>
      <c r="F6" s="12" t="s">
        <v>856</v>
      </c>
      <c r="G6" s="88" t="n">
        <v>39387</v>
      </c>
      <c r="H6" s="13"/>
      <c r="I6" s="13"/>
      <c r="J6" s="11"/>
      <c r="K6" s="1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.75" hidden="false" customHeight="false" outlineLevel="0" collapsed="false">
      <c r="A7" s="10" t="n">
        <v>4</v>
      </c>
      <c r="B7" s="14" t="s">
        <v>1043</v>
      </c>
      <c r="C7" s="74" t="n">
        <v>5000</v>
      </c>
      <c r="D7" s="14" t="n">
        <v>25197</v>
      </c>
      <c r="E7" s="27" t="s">
        <v>171</v>
      </c>
      <c r="F7" s="14" t="s">
        <v>848</v>
      </c>
      <c r="G7" s="86" t="n">
        <v>38852</v>
      </c>
      <c r="H7" s="11"/>
      <c r="I7" s="11"/>
      <c r="J7" s="1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customFormat="false" ht="15.75" hidden="false" customHeight="false" outlineLevel="0" collapsed="false">
      <c r="A8" s="10" t="n">
        <v>5</v>
      </c>
      <c r="B8" s="12" t="s">
        <v>1044</v>
      </c>
      <c r="D8" s="12" t="n">
        <v>25173</v>
      </c>
      <c r="F8" s="13"/>
      <c r="G8" s="13"/>
      <c r="H8" s="13"/>
      <c r="I8" s="13"/>
      <c r="J8" s="1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.75" hidden="false" customHeight="false" outlineLevel="0" collapsed="false">
      <c r="A9" s="10" t="n">
        <v>6</v>
      </c>
      <c r="B9" s="14" t="s">
        <v>1045</v>
      </c>
      <c r="D9" s="14" t="n">
        <v>25212</v>
      </c>
      <c r="E9" s="27" t="s">
        <v>865</v>
      </c>
      <c r="F9" s="14" t="s">
        <v>866</v>
      </c>
      <c r="G9" s="86" t="n">
        <v>38069</v>
      </c>
      <c r="H9" s="11"/>
      <c r="I9" s="11"/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customFormat="false" ht="15.75" hidden="false" customHeight="false" outlineLevel="0" collapsed="false">
      <c r="A10" s="10" t="n">
        <v>7</v>
      </c>
      <c r="B10" s="14" t="s">
        <v>1046</v>
      </c>
      <c r="C10" s="74" t="s">
        <v>689</v>
      </c>
      <c r="D10" s="14" t="n">
        <v>25230</v>
      </c>
      <c r="E10" s="27" t="s">
        <v>208</v>
      </c>
      <c r="F10" s="14" t="s">
        <v>1047</v>
      </c>
      <c r="G10" s="86" t="n">
        <v>39761</v>
      </c>
      <c r="I10" s="11" t="s">
        <v>584</v>
      </c>
      <c r="J10" s="1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customFormat="false" ht="15.75" hidden="false" customHeight="false" outlineLevel="0" collapsed="false">
      <c r="A11" s="10" t="n">
        <v>8</v>
      </c>
      <c r="B11" s="12" t="s">
        <v>1048</v>
      </c>
      <c r="C11" s="74" t="s">
        <v>689</v>
      </c>
      <c r="D11" s="12" t="n">
        <v>26296</v>
      </c>
      <c r="E11" s="27" t="s">
        <v>375</v>
      </c>
      <c r="F11" s="13"/>
      <c r="G11" s="13"/>
      <c r="H11" s="13"/>
      <c r="I11" s="13"/>
      <c r="J11" s="1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customFormat="false" ht="15.75" hidden="false" customHeight="false" outlineLevel="0" collapsed="false">
      <c r="A12" s="10" t="n">
        <v>9</v>
      </c>
      <c r="B12" s="14" t="s">
        <v>1049</v>
      </c>
      <c r="C12" s="11" t="s">
        <v>689</v>
      </c>
      <c r="D12" s="14" t="n">
        <v>26306</v>
      </c>
      <c r="E12" s="14" t="s">
        <v>1050</v>
      </c>
      <c r="F12" s="11"/>
      <c r="G12" s="11"/>
      <c r="H12" s="11"/>
      <c r="I12" s="11"/>
      <c r="J12" s="1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5.75" hidden="false" customHeight="false" outlineLevel="0" collapsed="false">
      <c r="A13" s="10" t="n">
        <v>10</v>
      </c>
      <c r="B13" s="12" t="s">
        <v>1051</v>
      </c>
      <c r="C13" s="13" t="s">
        <v>689</v>
      </c>
      <c r="D13" s="12" t="n">
        <v>26290</v>
      </c>
      <c r="E13" s="12" t="s">
        <v>1052</v>
      </c>
      <c r="F13" s="12" t="s">
        <v>1053</v>
      </c>
      <c r="G13" s="12" t="s">
        <v>1054</v>
      </c>
      <c r="H13" s="13"/>
      <c r="I13" s="13" t="s">
        <v>587</v>
      </c>
      <c r="J13" s="1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5.75" hidden="false" customHeight="false" outlineLevel="0" collapsed="false">
      <c r="A14" s="10" t="n">
        <v>11</v>
      </c>
      <c r="B14" s="12" t="s">
        <v>1055</v>
      </c>
      <c r="C14" s="13"/>
      <c r="D14" s="38" t="n">
        <v>25110</v>
      </c>
      <c r="E14" s="38" t="s">
        <v>549</v>
      </c>
      <c r="F14" s="13"/>
      <c r="G14" s="13"/>
      <c r="H14" s="13"/>
      <c r="I14" s="13"/>
      <c r="J14" s="1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5.75" hidden="false" customHeight="false" outlineLevel="0" collapsed="false">
      <c r="A15" s="10" t="n">
        <v>12</v>
      </c>
      <c r="B15" s="27" t="s">
        <v>310</v>
      </c>
      <c r="D15" s="12" t="n">
        <v>173</v>
      </c>
      <c r="E15" s="38" t="s">
        <v>71</v>
      </c>
      <c r="F15" s="11"/>
      <c r="G15" s="11"/>
      <c r="H15" s="11"/>
      <c r="I15" s="11"/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false" ht="15.75" hidden="false" customHeight="false" outlineLevel="0" collapsed="false">
      <c r="A16" s="10" t="n">
        <v>13</v>
      </c>
      <c r="B16" s="38" t="s">
        <v>834</v>
      </c>
      <c r="D16" s="38" t="n">
        <v>25193</v>
      </c>
      <c r="E16" s="38" t="s">
        <v>165</v>
      </c>
      <c r="F16" s="38" t="s">
        <v>835</v>
      </c>
      <c r="G16" s="87" t="n">
        <v>37538</v>
      </c>
      <c r="I16" s="38" t="s">
        <v>836</v>
      </c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false" ht="15.75" hidden="false" customHeight="false" outlineLevel="0" collapsed="false">
      <c r="A17" s="10" t="n">
        <v>14</v>
      </c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false" ht="15.75" hidden="false" customHeight="false" outlineLevel="0" collapsed="false">
      <c r="A18" s="10" t="n">
        <v>15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customFormat="false" ht="15.75" hidden="false" customHeight="false" outlineLevel="0" collapsed="false">
      <c r="A19" s="38" t="n">
        <v>16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customFormat="false" ht="15.75" hidden="false" customHeight="fals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customFormat="false" ht="15.75" hidden="false" customHeight="false" outlineLevel="0" collapsed="false">
      <c r="A21" s="10" t="n"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customFormat="false" ht="15.75" hidden="false" customHeight="fals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5"/>
      <c r="L22" s="5" t="s">
        <v>55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customFormat="false" ht="15.75" hidden="false" customHeight="false" outlineLevel="0" collapsed="false">
      <c r="A23" s="10"/>
      <c r="B23" s="13"/>
      <c r="C23" s="13"/>
      <c r="D23" s="13"/>
      <c r="E23" s="13"/>
      <c r="F23" s="13"/>
      <c r="G23" s="13"/>
      <c r="H23" s="13"/>
      <c r="I23" s="13"/>
      <c r="J23" s="1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customFormat="false" ht="15.75" hidden="false" customHeight="fals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customFormat="false" ht="15.75" hidden="false" customHeight="false" outlineLevel="0" collapsed="false">
      <c r="A25" s="10"/>
      <c r="B25" s="13"/>
      <c r="C25" s="13"/>
      <c r="D25" s="13"/>
      <c r="E25" s="13"/>
      <c r="F25" s="13"/>
      <c r="G25" s="13"/>
      <c r="H25" s="13"/>
      <c r="I25" s="13"/>
      <c r="J25" s="1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customFormat="false" ht="15.75" hidden="false" customHeight="fals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 t="s">
        <v>56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customFormat="false" ht="15.75" hidden="false" customHeight="false" outlineLevel="0" collapsed="false">
      <c r="A31" s="15"/>
      <c r="B31" s="15"/>
      <c r="C31" s="15"/>
      <c r="D31" s="15"/>
      <c r="E31" s="15"/>
      <c r="F31" s="15"/>
      <c r="G31" s="15"/>
      <c r="H31" s="16"/>
      <c r="I31" s="15"/>
      <c r="J31" s="15"/>
      <c r="K31" s="15"/>
      <c r="L31" s="15"/>
      <c r="M31" s="1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</sheetData>
  <mergeCells count="3">
    <mergeCell ref="A1:J1"/>
    <mergeCell ref="A2:F2"/>
    <mergeCell ref="G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0.51"/>
    <col collapsed="false" customWidth="true" hidden="false" outlineLevel="0" max="3" min="3" style="0" width="13.75"/>
    <col collapsed="false" customWidth="true" hidden="false" outlineLevel="0" max="4" min="4" style="0" width="18.38"/>
    <col collapsed="false" customWidth="true" hidden="false" outlineLevel="0" max="5" min="5" style="0" width="23.63"/>
    <col collapsed="false" customWidth="true" hidden="false" outlineLevel="0" max="6" min="6" style="0" width="23.75"/>
    <col collapsed="false" customWidth="true" hidden="false" outlineLevel="0" max="7" min="7" style="0" width="18.25"/>
    <col collapsed="false" customWidth="true" hidden="false" outlineLevel="0" max="8" min="8" style="0" width="18.13"/>
    <col collapsed="false" customWidth="true" hidden="false" outlineLevel="0" max="9" min="9" style="0" width="25.63"/>
  </cols>
  <sheetData>
    <row r="1" customFormat="false" ht="29.1" hidden="false" customHeight="false" outlineLevel="0" collapsed="false">
      <c r="A1" s="4" t="s">
        <v>1056</v>
      </c>
      <c r="B1" s="4"/>
      <c r="C1" s="4"/>
      <c r="D1" s="4"/>
      <c r="E1" s="4"/>
      <c r="F1" s="4"/>
      <c r="G1" s="4"/>
      <c r="H1" s="4"/>
      <c r="I1" s="4"/>
    </row>
    <row r="2" customFormat="false" ht="15.75" hidden="false" customHeight="false" outlineLevel="0" collapsed="false">
      <c r="A2" s="131" t="s">
        <v>973</v>
      </c>
      <c r="B2" s="131"/>
      <c r="C2" s="131"/>
      <c r="D2" s="131"/>
      <c r="E2" s="131"/>
      <c r="F2" s="131"/>
      <c r="G2" s="131"/>
      <c r="H2" s="131"/>
      <c r="I2" s="131"/>
    </row>
    <row r="3" customFormat="false" ht="17.35" hidden="false" customHeight="false" outlineLevel="0" collapsed="false">
      <c r="A3" s="6" t="s">
        <v>1057</v>
      </c>
      <c r="B3" s="6"/>
      <c r="C3" s="6"/>
      <c r="D3" s="6"/>
      <c r="E3" s="6"/>
      <c r="F3" s="6" t="s">
        <v>1058</v>
      </c>
      <c r="G3" s="6"/>
      <c r="H3" s="6"/>
      <c r="I3" s="6"/>
    </row>
    <row r="4" customFormat="false" ht="17.35" hidden="false" customHeight="false" outlineLevel="0" collapsed="false">
      <c r="A4" s="7" t="s">
        <v>0</v>
      </c>
      <c r="B4" s="8" t="s">
        <v>4</v>
      </c>
      <c r="C4" s="9" t="s">
        <v>49</v>
      </c>
      <c r="D4" s="8" t="s">
        <v>5</v>
      </c>
      <c r="E4" s="8" t="s">
        <v>6</v>
      </c>
      <c r="F4" s="8" t="s">
        <v>50</v>
      </c>
      <c r="G4" s="8" t="s">
        <v>51</v>
      </c>
      <c r="H4" s="7" t="s">
        <v>577</v>
      </c>
      <c r="I4" s="8" t="s">
        <v>53</v>
      </c>
    </row>
    <row r="5" customFormat="false" ht="15.75" hidden="false" customHeight="false" outlineLevel="0" collapsed="false">
      <c r="A5" s="10" t="n">
        <v>1</v>
      </c>
      <c r="B5" s="14" t="s">
        <v>1059</v>
      </c>
      <c r="C5" s="38" t="n">
        <v>26275</v>
      </c>
      <c r="D5" s="14" t="s">
        <v>1060</v>
      </c>
      <c r="E5" s="14" t="s">
        <v>200</v>
      </c>
      <c r="F5" s="47" t="n">
        <v>37656</v>
      </c>
      <c r="G5" s="12" t="s">
        <v>1006</v>
      </c>
      <c r="H5" s="11"/>
      <c r="I5" s="11"/>
    </row>
    <row r="6" customFormat="false" ht="15.75" hidden="false" customHeight="false" outlineLevel="0" collapsed="false">
      <c r="A6" s="10" t="n">
        <v>2</v>
      </c>
      <c r="B6" s="12" t="s">
        <v>1061</v>
      </c>
      <c r="C6" s="91" t="n">
        <v>26309</v>
      </c>
      <c r="D6" s="12" t="s">
        <v>1062</v>
      </c>
      <c r="E6" s="12" t="s">
        <v>1063</v>
      </c>
      <c r="F6" s="12" t="s">
        <v>1064</v>
      </c>
      <c r="G6" s="12" t="s">
        <v>1025</v>
      </c>
      <c r="H6" s="12" t="s">
        <v>617</v>
      </c>
      <c r="I6" s="13"/>
    </row>
    <row r="7" customFormat="false" ht="15.75" hidden="false" customHeight="false" outlineLevel="0" collapsed="false">
      <c r="A7" s="10" t="n">
        <v>3</v>
      </c>
      <c r="B7" s="14" t="s">
        <v>1065</v>
      </c>
      <c r="C7" s="38" t="n">
        <v>26270</v>
      </c>
      <c r="D7" s="14" t="s">
        <v>1066</v>
      </c>
      <c r="E7" s="14" t="s">
        <v>1067</v>
      </c>
      <c r="F7" s="14" t="s">
        <v>1068</v>
      </c>
      <c r="G7" s="14" t="s">
        <v>1069</v>
      </c>
      <c r="H7" s="14" t="s">
        <v>836</v>
      </c>
      <c r="I7" s="11"/>
    </row>
    <row r="8" customFormat="false" ht="15.75" hidden="false" customHeight="false" outlineLevel="0" collapsed="false">
      <c r="A8" s="10" t="n">
        <v>4</v>
      </c>
      <c r="B8" s="12" t="s">
        <v>1070</v>
      </c>
      <c r="C8" s="12" t="n">
        <v>26271</v>
      </c>
      <c r="D8" s="12" t="s">
        <v>1071</v>
      </c>
      <c r="E8" s="12" t="s">
        <v>1072</v>
      </c>
      <c r="F8" s="12" t="s">
        <v>1073</v>
      </c>
      <c r="G8" s="12" t="s">
        <v>1006</v>
      </c>
      <c r="H8" s="12"/>
      <c r="I8" s="13"/>
    </row>
    <row r="9" customFormat="false" ht="15.75" hidden="false" customHeight="false" outlineLevel="0" collapsed="false">
      <c r="A9" s="10" t="n">
        <v>5</v>
      </c>
      <c r="B9" s="12" t="s">
        <v>1074</v>
      </c>
      <c r="C9" s="12" t="n">
        <v>26281</v>
      </c>
      <c r="D9" s="38" t="s">
        <v>1075</v>
      </c>
      <c r="E9" s="12" t="s">
        <v>1076</v>
      </c>
      <c r="F9" s="46" t="s">
        <v>1077</v>
      </c>
      <c r="G9" s="12" t="s">
        <v>979</v>
      </c>
      <c r="H9" s="12"/>
      <c r="I9" s="13"/>
    </row>
    <row r="10" customFormat="false" ht="15.75" hidden="false" customHeight="false" outlineLevel="0" collapsed="false">
      <c r="A10" s="10" t="n">
        <v>6</v>
      </c>
      <c r="B10" s="38" t="s">
        <v>1078</v>
      </c>
      <c r="C10" s="14" t="n">
        <v>26282</v>
      </c>
      <c r="D10" s="14" t="s">
        <v>1079</v>
      </c>
      <c r="E10" s="14" t="s">
        <v>1080</v>
      </c>
      <c r="F10" s="47" t="n">
        <v>38657</v>
      </c>
      <c r="G10" s="11"/>
      <c r="H10" s="14"/>
      <c r="I10" s="11"/>
    </row>
    <row r="11" customFormat="false" ht="15.75" hidden="false" customHeight="false" outlineLevel="0" collapsed="false">
      <c r="A11" s="10" t="n">
        <v>7</v>
      </c>
      <c r="B11" s="38" t="s">
        <v>1081</v>
      </c>
      <c r="C11" s="12" t="n">
        <v>26283</v>
      </c>
      <c r="D11" s="38" t="s">
        <v>1082</v>
      </c>
      <c r="E11" s="12" t="s">
        <v>1080</v>
      </c>
      <c r="F11" s="12" t="s">
        <v>1083</v>
      </c>
      <c r="G11" s="12" t="s">
        <v>979</v>
      </c>
      <c r="H11" s="12"/>
      <c r="I11" s="13"/>
    </row>
    <row r="12" customFormat="false" ht="15.75" hidden="false" customHeight="false" outlineLevel="0" collapsed="false">
      <c r="A12" s="10" t="n">
        <v>8</v>
      </c>
      <c r="B12" s="91" t="s">
        <v>1084</v>
      </c>
      <c r="C12" s="12" t="n">
        <v>26285</v>
      </c>
      <c r="D12" s="12" t="s">
        <v>1085</v>
      </c>
      <c r="E12" s="13"/>
      <c r="F12" s="12" t="s">
        <v>1086</v>
      </c>
      <c r="G12" s="12"/>
      <c r="H12" s="12"/>
      <c r="I12" s="13"/>
    </row>
    <row r="13" customFormat="false" ht="15.75" hidden="false" customHeight="false" outlineLevel="0" collapsed="false">
      <c r="A13" s="10" t="n">
        <v>9</v>
      </c>
      <c r="B13" s="14" t="s">
        <v>1087</v>
      </c>
      <c r="C13" s="14" t="n">
        <v>26292</v>
      </c>
      <c r="D13" s="14" t="s">
        <v>1088</v>
      </c>
      <c r="E13" s="14" t="s">
        <v>1089</v>
      </c>
      <c r="F13" s="47" t="n">
        <v>34283</v>
      </c>
      <c r="G13" s="14" t="s">
        <v>1006</v>
      </c>
      <c r="H13" s="14" t="s">
        <v>617</v>
      </c>
    </row>
    <row r="14" customFormat="false" ht="15.75" hidden="false" customHeight="false" outlineLevel="0" collapsed="false">
      <c r="A14" s="10" t="n">
        <v>10</v>
      </c>
      <c r="B14" s="12" t="s">
        <v>1090</v>
      </c>
      <c r="C14" s="12" t="n">
        <v>26289</v>
      </c>
      <c r="D14" s="12" t="s">
        <v>1091</v>
      </c>
      <c r="E14" s="12" t="s">
        <v>1092</v>
      </c>
      <c r="F14" s="46" t="n">
        <v>39030</v>
      </c>
      <c r="G14" s="12" t="s">
        <v>979</v>
      </c>
      <c r="H14" s="12" t="s">
        <v>617</v>
      </c>
      <c r="I14" s="11"/>
    </row>
    <row r="15" customFormat="false" ht="15.75" hidden="false" customHeight="false" outlineLevel="0" collapsed="false">
      <c r="A15" s="10" t="n">
        <v>11</v>
      </c>
      <c r="B15" s="14" t="s">
        <v>1093</v>
      </c>
      <c r="C15" s="14" t="n">
        <v>25126</v>
      </c>
      <c r="D15" s="27" t="s">
        <v>670</v>
      </c>
      <c r="E15" s="27" t="s">
        <v>671</v>
      </c>
      <c r="F15" s="45" t="n">
        <v>38475</v>
      </c>
      <c r="G15" s="12" t="s">
        <v>979</v>
      </c>
      <c r="H15" s="14"/>
      <c r="I15" s="13"/>
    </row>
    <row r="16" customFormat="false" ht="15.75" hidden="false" customHeight="false" outlineLevel="0" collapsed="false">
      <c r="A16" s="10" t="n">
        <v>12</v>
      </c>
      <c r="B16" s="12" t="s">
        <v>1094</v>
      </c>
      <c r="C16" s="12" t="n">
        <v>26284</v>
      </c>
      <c r="D16" s="12" t="s">
        <v>1095</v>
      </c>
      <c r="E16" s="12" t="s">
        <v>1096</v>
      </c>
      <c r="F16" s="46" t="n">
        <v>38362</v>
      </c>
      <c r="G16" s="12" t="s">
        <v>988</v>
      </c>
      <c r="H16" s="12" t="s">
        <v>587</v>
      </c>
      <c r="I16" s="11"/>
    </row>
    <row r="17" customFormat="false" ht="15.75" hidden="false" customHeight="false" outlineLevel="0" collapsed="false">
      <c r="A17" s="10" t="n">
        <v>13</v>
      </c>
      <c r="B17" s="14" t="s">
        <v>1097</v>
      </c>
      <c r="C17" s="14" t="n">
        <v>26314</v>
      </c>
      <c r="D17" s="14" t="s">
        <v>289</v>
      </c>
      <c r="E17" s="14" t="s">
        <v>1098</v>
      </c>
      <c r="F17" s="47" t="n">
        <v>36529</v>
      </c>
      <c r="G17" s="12" t="s">
        <v>1025</v>
      </c>
      <c r="H17" s="14" t="s">
        <v>584</v>
      </c>
      <c r="I17" s="13"/>
    </row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>
      <c r="A21" s="10"/>
      <c r="B21" s="11"/>
      <c r="C21" s="11"/>
      <c r="D21" s="14"/>
      <c r="E21" s="14"/>
      <c r="F21" s="14"/>
      <c r="G21" s="13"/>
      <c r="H21" s="11"/>
      <c r="I21" s="132"/>
    </row>
    <row r="26" customFormat="false" ht="15.75" hidden="false" customHeight="false" outlineLevel="0" collapsed="false">
      <c r="L26" s="22" t="s">
        <v>1099</v>
      </c>
    </row>
  </sheetData>
  <mergeCells count="4">
    <mergeCell ref="A1:I1"/>
    <mergeCell ref="A2:I2"/>
    <mergeCell ref="A3:E3"/>
    <mergeCell ref="F3:I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30.88"/>
    <col collapsed="false" customWidth="true" hidden="false" outlineLevel="0" max="3" min="3" style="0" width="13.25"/>
    <col collapsed="false" customWidth="true" hidden="false" outlineLevel="0" max="4" min="4" style="0" width="20.38"/>
    <col collapsed="false" customWidth="true" hidden="false" outlineLevel="0" max="5" min="5" style="0" width="21.88"/>
    <col collapsed="false" customWidth="true" hidden="false" outlineLevel="0" max="6" min="6" style="0" width="18.75"/>
    <col collapsed="false" customWidth="true" hidden="false" outlineLevel="0" max="7" min="7" style="0" width="17"/>
    <col collapsed="false" customWidth="true" hidden="false" outlineLevel="0" max="8" min="8" style="0" width="26"/>
    <col collapsed="false" customWidth="true" hidden="false" outlineLevel="0" max="9" min="9" style="0" width="32.63"/>
  </cols>
  <sheetData>
    <row r="1" customFormat="false" ht="29.1" hidden="false" customHeight="false" outlineLevel="0" collapsed="false">
      <c r="A1" s="4" t="s">
        <v>1100</v>
      </c>
      <c r="B1" s="4"/>
      <c r="C1" s="4"/>
      <c r="D1" s="4"/>
      <c r="E1" s="4"/>
      <c r="F1" s="4"/>
      <c r="G1" s="4"/>
      <c r="H1" s="4"/>
      <c r="I1" s="4"/>
    </row>
    <row r="2" customFormat="false" ht="17.35" hidden="false" customHeight="false" outlineLevel="0" collapsed="false">
      <c r="A2" s="6" t="s">
        <v>973</v>
      </c>
      <c r="B2" s="6"/>
      <c r="C2" s="6"/>
      <c r="D2" s="6"/>
      <c r="E2" s="6"/>
      <c r="F2" s="6"/>
      <c r="G2" s="6"/>
      <c r="H2" s="6"/>
      <c r="I2" s="6"/>
    </row>
    <row r="3" customFormat="false" ht="21.6" hidden="false" customHeight="false" outlineLevel="0" collapsed="false">
      <c r="A3" s="6" t="s">
        <v>1101</v>
      </c>
      <c r="B3" s="6"/>
      <c r="C3" s="6"/>
      <c r="D3" s="6"/>
      <c r="E3" s="6"/>
      <c r="F3" s="6" t="s">
        <v>975</v>
      </c>
      <c r="G3" s="6"/>
      <c r="H3" s="6"/>
      <c r="I3" s="6"/>
    </row>
    <row r="4" customFormat="false" ht="17.35" hidden="false" customHeight="false" outlineLevel="0" collapsed="false">
      <c r="A4" s="7" t="s">
        <v>48</v>
      </c>
      <c r="B4" s="8" t="s">
        <v>4</v>
      </c>
      <c r="C4" s="9" t="s">
        <v>49</v>
      </c>
      <c r="D4" s="8" t="s">
        <v>5</v>
      </c>
      <c r="E4" s="8" t="s">
        <v>6</v>
      </c>
      <c r="F4" s="8" t="s">
        <v>50</v>
      </c>
      <c r="G4" s="8" t="s">
        <v>51</v>
      </c>
      <c r="H4" s="8" t="s">
        <v>577</v>
      </c>
      <c r="I4" s="8" t="s">
        <v>53</v>
      </c>
    </row>
    <row r="5" customFormat="false" ht="15.75" hidden="false" customHeight="false" outlineLevel="0" collapsed="false">
      <c r="A5" s="10" t="n">
        <v>1</v>
      </c>
      <c r="B5" s="38" t="s">
        <v>1102</v>
      </c>
      <c r="C5" s="14" t="n">
        <v>26288</v>
      </c>
      <c r="D5" s="14" t="s">
        <v>1103</v>
      </c>
      <c r="E5" s="27" t="s">
        <v>1104</v>
      </c>
      <c r="F5" s="126" t="n">
        <v>38604</v>
      </c>
      <c r="G5" s="11"/>
      <c r="H5" s="14" t="s">
        <v>584</v>
      </c>
      <c r="I5" s="11"/>
    </row>
    <row r="6" customFormat="false" ht="15.75" hidden="false" customHeight="false" outlineLevel="0" collapsed="false">
      <c r="A6" s="91" t="n">
        <v>2</v>
      </c>
      <c r="B6" s="91" t="s">
        <v>1105</v>
      </c>
      <c r="C6" s="91" t="n">
        <v>26287</v>
      </c>
      <c r="D6" s="91" t="s">
        <v>1106</v>
      </c>
      <c r="E6" s="91" t="s">
        <v>1104</v>
      </c>
      <c r="F6" s="133" t="n">
        <v>38698</v>
      </c>
      <c r="G6" s="125"/>
      <c r="H6" s="91" t="s">
        <v>584</v>
      </c>
      <c r="I6" s="125"/>
    </row>
    <row r="7" customFormat="false" ht="15.75" hidden="false" customHeight="false" outlineLevel="0" collapsed="false">
      <c r="A7" s="10" t="n">
        <v>3</v>
      </c>
      <c r="B7" s="14" t="s">
        <v>1107</v>
      </c>
      <c r="C7" s="14" t="n">
        <v>25210</v>
      </c>
      <c r="D7" s="14" t="s">
        <v>183</v>
      </c>
      <c r="E7" s="14" t="s">
        <v>860</v>
      </c>
      <c r="F7" s="47" t="n">
        <v>36749</v>
      </c>
      <c r="G7" s="11"/>
      <c r="H7" s="14" t="s">
        <v>617</v>
      </c>
      <c r="I7" s="11"/>
    </row>
    <row r="8" customFormat="false" ht="15.75" hidden="false" customHeight="false" outlineLevel="0" collapsed="false">
      <c r="A8" s="10" t="n">
        <v>4</v>
      </c>
      <c r="B8" s="38" t="s">
        <v>1108</v>
      </c>
      <c r="C8" s="12" t="n">
        <v>26295</v>
      </c>
      <c r="D8" s="12" t="s">
        <v>1109</v>
      </c>
      <c r="E8" s="12" t="s">
        <v>1110</v>
      </c>
      <c r="F8" s="46" t="n">
        <v>39212</v>
      </c>
      <c r="G8" s="14" t="s">
        <v>1025</v>
      </c>
      <c r="H8" s="14" t="s">
        <v>617</v>
      </c>
      <c r="I8" s="13"/>
    </row>
    <row r="9" customFormat="false" ht="15.75" hidden="false" customHeight="false" outlineLevel="0" collapsed="false">
      <c r="A9" s="10" t="n">
        <v>5</v>
      </c>
      <c r="B9" s="14" t="s">
        <v>1111</v>
      </c>
      <c r="C9" s="14" t="n">
        <v>26298</v>
      </c>
      <c r="D9" s="14" t="s">
        <v>1112</v>
      </c>
      <c r="E9" s="14" t="s">
        <v>89</v>
      </c>
      <c r="F9" s="14" t="s">
        <v>1113</v>
      </c>
      <c r="G9" s="14" t="s">
        <v>1025</v>
      </c>
      <c r="H9" s="14" t="s">
        <v>584</v>
      </c>
      <c r="I9" s="11"/>
    </row>
    <row r="10" customFormat="false" ht="15.75" hidden="false" customHeight="false" outlineLevel="0" collapsed="false">
      <c r="A10" s="10" t="n">
        <v>6</v>
      </c>
      <c r="B10" s="12" t="s">
        <v>1114</v>
      </c>
      <c r="C10" s="12" t="n">
        <v>26253</v>
      </c>
      <c r="D10" s="12" t="s">
        <v>1115</v>
      </c>
      <c r="E10" s="13"/>
      <c r="F10" s="46" t="n">
        <v>38048</v>
      </c>
      <c r="G10" s="12" t="s">
        <v>979</v>
      </c>
      <c r="H10" s="12" t="s">
        <v>587</v>
      </c>
      <c r="I10" s="13"/>
    </row>
    <row r="11" customFormat="false" ht="15.75" hidden="false" customHeight="false" outlineLevel="0" collapsed="false">
      <c r="A11" s="14" t="n">
        <v>7</v>
      </c>
      <c r="B11" s="14" t="s">
        <v>1116</v>
      </c>
      <c r="C11" s="14" t="n">
        <v>26312</v>
      </c>
      <c r="D11" s="14" t="s">
        <v>1117</v>
      </c>
      <c r="E11" s="14" t="s">
        <v>1118</v>
      </c>
      <c r="F11" s="14" t="s">
        <v>1119</v>
      </c>
      <c r="G11" s="14" t="s">
        <v>979</v>
      </c>
      <c r="H11" s="14" t="s">
        <v>584</v>
      </c>
      <c r="I11" s="11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5.75" hidden="false" customHeight="false" outlineLevel="0" collapsed="false">
      <c r="A12" s="10" t="n">
        <v>8</v>
      </c>
      <c r="B12" s="14" t="s">
        <v>1120</v>
      </c>
      <c r="C12" s="14" t="n">
        <v>26300</v>
      </c>
      <c r="D12" s="14" t="s">
        <v>1121</v>
      </c>
      <c r="E12" s="14" t="s">
        <v>1122</v>
      </c>
      <c r="F12" s="47" t="n">
        <v>36070</v>
      </c>
      <c r="G12" s="14" t="s">
        <v>979</v>
      </c>
      <c r="H12" s="14"/>
    </row>
    <row r="13" customFormat="false" ht="15.75" hidden="false" customHeight="false" outlineLevel="0" collapsed="false">
      <c r="A13" s="10" t="n">
        <v>9</v>
      </c>
      <c r="B13" s="12" t="s">
        <v>1123</v>
      </c>
      <c r="C13" s="12" t="n">
        <v>26299</v>
      </c>
      <c r="D13" s="12" t="s">
        <v>1124</v>
      </c>
      <c r="E13" s="12" t="s">
        <v>1124</v>
      </c>
      <c r="F13" s="46" t="n">
        <v>33734</v>
      </c>
      <c r="G13" s="12" t="s">
        <v>979</v>
      </c>
      <c r="H13" s="12"/>
      <c r="I13" s="11"/>
    </row>
    <row r="14" customFormat="false" ht="15.75" hidden="false" customHeight="false" outlineLevel="0" collapsed="false">
      <c r="A14" s="10" t="n">
        <v>10</v>
      </c>
      <c r="B14" s="38" t="s">
        <v>1125</v>
      </c>
      <c r="C14" s="38" t="n">
        <v>26301</v>
      </c>
      <c r="D14" s="14" t="s">
        <v>1126</v>
      </c>
      <c r="E14" s="14" t="s">
        <v>1127</v>
      </c>
      <c r="F14" s="14" t="s">
        <v>1128</v>
      </c>
      <c r="G14" s="14" t="s">
        <v>1025</v>
      </c>
      <c r="H14" s="14" t="s">
        <v>584</v>
      </c>
      <c r="I14" s="13"/>
    </row>
    <row r="15" customFormat="false" ht="15.75" hidden="false" customHeight="false" outlineLevel="0" collapsed="false">
      <c r="A15" s="10" t="n">
        <v>11</v>
      </c>
      <c r="B15" s="12" t="s">
        <v>1129</v>
      </c>
      <c r="C15" s="12" t="n">
        <v>26304</v>
      </c>
      <c r="D15" s="12"/>
      <c r="E15" s="12" t="s">
        <v>1130</v>
      </c>
      <c r="F15" s="12" t="s">
        <v>1131</v>
      </c>
      <c r="G15" s="12" t="s">
        <v>1025</v>
      </c>
      <c r="H15" s="12" t="s">
        <v>697</v>
      </c>
      <c r="I15" s="11"/>
    </row>
    <row r="16" customFormat="false" ht="15.75" hidden="false" customHeight="false" outlineLevel="0" collapsed="false">
      <c r="A16" s="10" t="n">
        <v>12</v>
      </c>
      <c r="B16" s="12" t="s">
        <v>1132</v>
      </c>
      <c r="C16" s="38" t="n">
        <v>26313</v>
      </c>
      <c r="D16" s="12" t="s">
        <v>1133</v>
      </c>
      <c r="E16" s="13"/>
      <c r="F16" s="46" t="n">
        <v>34436</v>
      </c>
      <c r="G16" s="12"/>
      <c r="H16" s="14" t="s">
        <v>584</v>
      </c>
      <c r="I16" s="13"/>
    </row>
    <row r="17" customFormat="false" ht="15.75" hidden="false" customHeight="false" outlineLevel="0" collapsed="false">
      <c r="A17" s="10" t="n">
        <v>13</v>
      </c>
      <c r="B17" s="14" t="s">
        <v>1134</v>
      </c>
      <c r="C17" s="14" t="n">
        <v>26308</v>
      </c>
      <c r="D17" s="14" t="s">
        <v>1135</v>
      </c>
      <c r="E17" s="11"/>
      <c r="F17" s="47" t="n">
        <v>37624</v>
      </c>
      <c r="G17" s="11"/>
      <c r="H17" s="14"/>
      <c r="I17" s="11"/>
    </row>
    <row r="18" customFormat="false" ht="15.75" hidden="false" customHeight="false" outlineLevel="0" collapsed="false">
      <c r="A18" s="10" t="n">
        <v>14</v>
      </c>
      <c r="B18" s="12" t="s">
        <v>1136</v>
      </c>
      <c r="C18" s="12" t="n">
        <v>26307</v>
      </c>
      <c r="D18" s="12" t="s">
        <v>1137</v>
      </c>
      <c r="E18" s="13"/>
      <c r="F18" s="12" t="s">
        <v>1138</v>
      </c>
      <c r="G18" s="13"/>
      <c r="H18" s="12"/>
      <c r="I18" s="13"/>
    </row>
    <row r="19" customFormat="false" ht="15.75" hidden="false" customHeight="false" outlineLevel="0" collapsed="false">
      <c r="A19" s="10" t="n">
        <v>15</v>
      </c>
      <c r="B19" s="14" t="s">
        <v>1139</v>
      </c>
      <c r="C19" s="14" t="n">
        <v>26330</v>
      </c>
      <c r="D19" s="14" t="s">
        <v>1140</v>
      </c>
      <c r="E19" s="14" t="s">
        <v>1141</v>
      </c>
      <c r="F19" s="47" t="n">
        <v>38809</v>
      </c>
      <c r="G19" s="11"/>
      <c r="H19" s="14" t="s">
        <v>587</v>
      </c>
      <c r="I19" s="11"/>
    </row>
    <row r="20" customFormat="false" ht="15.75" hidden="false" customHeight="false" outlineLevel="0" collapsed="false">
      <c r="A20" s="10" t="n">
        <v>16</v>
      </c>
      <c r="B20" s="14" t="s">
        <v>1059</v>
      </c>
      <c r="C20" s="38" t="n">
        <v>26275</v>
      </c>
      <c r="D20" s="14" t="s">
        <v>1060</v>
      </c>
      <c r="E20" s="14" t="s">
        <v>200</v>
      </c>
      <c r="F20" s="47" t="n">
        <v>37656</v>
      </c>
      <c r="G20" s="12" t="s">
        <v>1006</v>
      </c>
      <c r="I20" s="13"/>
    </row>
    <row r="21" customFormat="false" ht="15.75" hidden="false" customHeight="false" outlineLevel="0" collapsed="false">
      <c r="A21" s="10" t="n">
        <v>17</v>
      </c>
      <c r="B21" s="12" t="s">
        <v>1061</v>
      </c>
      <c r="C21" s="14" t="n">
        <v>26309</v>
      </c>
      <c r="D21" s="12" t="s">
        <v>1062</v>
      </c>
      <c r="E21" s="12" t="s">
        <v>1063</v>
      </c>
      <c r="F21" s="12" t="s">
        <v>1064</v>
      </c>
      <c r="G21" s="12" t="s">
        <v>1025</v>
      </c>
      <c r="H21" s="27" t="s">
        <v>617</v>
      </c>
      <c r="I21" s="11"/>
    </row>
    <row r="22" customFormat="false" ht="15.75" hidden="false" customHeight="false" outlineLevel="0" collapsed="false">
      <c r="A22" s="10" t="n">
        <v>18</v>
      </c>
      <c r="B22" s="14" t="s">
        <v>1065</v>
      </c>
      <c r="C22" s="38" t="n">
        <v>26270</v>
      </c>
      <c r="D22" s="14" t="s">
        <v>1066</v>
      </c>
      <c r="E22" s="14" t="s">
        <v>1067</v>
      </c>
      <c r="F22" s="14" t="s">
        <v>1068</v>
      </c>
      <c r="G22" s="14" t="s">
        <v>1069</v>
      </c>
      <c r="H22" s="14" t="s">
        <v>836</v>
      </c>
      <c r="I22" s="11"/>
    </row>
    <row r="23" customFormat="false" ht="15.75" hidden="false" customHeight="false" outlineLevel="0" collapsed="false">
      <c r="A23" s="10" t="n">
        <v>19</v>
      </c>
      <c r="B23" s="14" t="s">
        <v>1084</v>
      </c>
      <c r="C23" s="12" t="n">
        <v>26285</v>
      </c>
      <c r="D23" s="12" t="s">
        <v>1085</v>
      </c>
      <c r="E23" s="13"/>
      <c r="F23" s="12" t="s">
        <v>1086</v>
      </c>
      <c r="G23" s="12"/>
      <c r="H23" s="13"/>
      <c r="I23" s="11"/>
    </row>
    <row r="24" customFormat="false" ht="15.75" hidden="false" customHeight="false" outlineLevel="0" collapsed="false">
      <c r="A24" s="10" t="n">
        <v>20</v>
      </c>
      <c r="B24" s="14" t="s">
        <v>1093</v>
      </c>
      <c r="C24" s="14" t="n">
        <v>25126</v>
      </c>
      <c r="D24" s="27" t="s">
        <v>670</v>
      </c>
      <c r="E24" s="27" t="s">
        <v>671</v>
      </c>
      <c r="F24" s="45" t="n">
        <v>38475</v>
      </c>
      <c r="G24" s="12" t="s">
        <v>979</v>
      </c>
      <c r="H24" s="11"/>
      <c r="I24" s="11"/>
    </row>
    <row r="25" customFormat="false" ht="15.75" hidden="false" customHeight="false" outlineLevel="0" collapsed="false">
      <c r="A25" s="10" t="n">
        <v>21</v>
      </c>
      <c r="I25" s="11"/>
    </row>
    <row r="26" customFormat="false" ht="15.75" hidden="false" customHeight="false" outlineLevel="0" collapsed="false">
      <c r="A26" s="10" t="n">
        <v>22</v>
      </c>
      <c r="I26" s="11"/>
    </row>
    <row r="27" customFormat="false" ht="15.75" hidden="false" customHeight="false" outlineLevel="0" collapsed="false"/>
    <row r="28" customFormat="false" ht="15.75" hidden="false" customHeight="false" outlineLevel="0" collapsed="false">
      <c r="B28" s="14"/>
      <c r="C28" s="14"/>
      <c r="D28" s="14"/>
      <c r="E28" s="14"/>
      <c r="F28" s="47"/>
      <c r="G28" s="11"/>
      <c r="H28" s="11"/>
      <c r="I28" s="11"/>
    </row>
    <row r="29" customFormat="false" ht="15.75" hidden="false" customHeight="false" outlineLevel="0" collapsed="false">
      <c r="B29" s="14"/>
      <c r="C29" s="14"/>
      <c r="D29" s="14"/>
      <c r="E29" s="14"/>
      <c r="F29" s="11"/>
      <c r="G29" s="11"/>
      <c r="H29" s="11"/>
      <c r="I29" s="29"/>
    </row>
    <row r="30" customFormat="false" ht="15.75" hidden="false" customHeight="false" outlineLevel="0" collapsed="false">
      <c r="B30" s="29"/>
      <c r="C30" s="29"/>
      <c r="D30" s="29"/>
      <c r="E30" s="29"/>
      <c r="F30" s="29"/>
      <c r="G30" s="29"/>
      <c r="H30" s="29"/>
      <c r="I30" s="29"/>
    </row>
  </sheetData>
  <mergeCells count="4">
    <mergeCell ref="A1:I1"/>
    <mergeCell ref="A2:I2"/>
    <mergeCell ref="A3:E3"/>
    <mergeCell ref="F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2.88"/>
    <col collapsed="false" customWidth="true" hidden="false" outlineLevel="0" max="3" min="3" style="0" width="15.13"/>
    <col collapsed="false" customWidth="true" hidden="false" outlineLevel="0" max="4" min="4" style="0" width="22.38"/>
    <col collapsed="false" customWidth="true" hidden="false" outlineLevel="0" max="5" min="5" style="0" width="25.12"/>
    <col collapsed="false" customWidth="true" hidden="false" outlineLevel="0" max="6" min="6" style="0" width="17.38"/>
    <col collapsed="false" customWidth="true" hidden="false" outlineLevel="0" max="7" min="7" style="0" width="15.13"/>
    <col collapsed="false" customWidth="true" hidden="false" outlineLevel="0" max="8" min="8" style="0" width="24.13"/>
    <col collapsed="false" customWidth="true" hidden="false" outlineLevel="0" max="9" min="9" style="0" width="42.63"/>
  </cols>
  <sheetData>
    <row r="1" customFormat="false" ht="29.1" hidden="false" customHeight="false" outlineLevel="0" collapsed="false">
      <c r="A1" s="4" t="s">
        <v>1142</v>
      </c>
      <c r="B1" s="4"/>
      <c r="C1" s="4"/>
      <c r="D1" s="4"/>
      <c r="E1" s="4"/>
      <c r="F1" s="4"/>
      <c r="G1" s="4"/>
      <c r="H1" s="4"/>
      <c r="I1" s="4"/>
    </row>
    <row r="2" customFormat="false" ht="17.35" hidden="false" customHeight="false" outlineLevel="0" collapsed="false">
      <c r="A2" s="6" t="s">
        <v>973</v>
      </c>
      <c r="B2" s="6"/>
      <c r="C2" s="6"/>
      <c r="D2" s="6"/>
      <c r="E2" s="6"/>
      <c r="F2" s="6"/>
      <c r="G2" s="6"/>
      <c r="H2" s="6"/>
      <c r="I2" s="6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customFormat="false" ht="17.35" hidden="false" customHeight="false" outlineLevel="0" collapsed="false">
      <c r="A3" s="6" t="s">
        <v>1143</v>
      </c>
      <c r="B3" s="6"/>
      <c r="C3" s="6"/>
      <c r="D3" s="6"/>
      <c r="E3" s="6"/>
      <c r="F3" s="6" t="s">
        <v>975</v>
      </c>
      <c r="G3" s="6"/>
      <c r="H3" s="6"/>
      <c r="I3" s="6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customFormat="false" ht="17.35" hidden="false" customHeight="false" outlineLevel="0" collapsed="false">
      <c r="A4" s="89" t="s">
        <v>48</v>
      </c>
      <c r="B4" s="90" t="s">
        <v>4</v>
      </c>
      <c r="C4" s="90" t="s">
        <v>49</v>
      </c>
      <c r="D4" s="90" t="s">
        <v>5</v>
      </c>
      <c r="E4" s="90" t="s">
        <v>6</v>
      </c>
      <c r="F4" s="90" t="s">
        <v>50</v>
      </c>
      <c r="G4" s="90" t="s">
        <v>51</v>
      </c>
      <c r="H4" s="89" t="s">
        <v>577</v>
      </c>
      <c r="I4" s="90" t="s">
        <v>53</v>
      </c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29"/>
      <c r="AB4" s="29"/>
      <c r="AC4" s="29"/>
    </row>
    <row r="5" customFormat="false" ht="15.75" hidden="false" customHeight="false" outlineLevel="0" collapsed="false">
      <c r="A5" s="14" t="n">
        <v>1</v>
      </c>
      <c r="B5" s="14" t="s">
        <v>1144</v>
      </c>
      <c r="C5" s="14" t="n">
        <v>26303</v>
      </c>
      <c r="D5" s="14" t="s">
        <v>1145</v>
      </c>
      <c r="E5" s="14" t="s">
        <v>1146</v>
      </c>
      <c r="F5" s="47" t="n">
        <v>35465</v>
      </c>
      <c r="G5" s="14" t="s">
        <v>1025</v>
      </c>
      <c r="H5" s="14" t="s">
        <v>697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9"/>
      <c r="AB5" s="29"/>
      <c r="AC5" s="29"/>
    </row>
    <row r="6" customFormat="false" ht="15.75" hidden="false" customHeight="false" outlineLevel="0" collapsed="false">
      <c r="A6" s="91" t="n">
        <v>2</v>
      </c>
      <c r="B6" s="91" t="s">
        <v>1147</v>
      </c>
      <c r="C6" s="91" t="n">
        <v>26317</v>
      </c>
      <c r="D6" s="91" t="s">
        <v>1148</v>
      </c>
      <c r="E6" s="91" t="s">
        <v>1149</v>
      </c>
      <c r="F6" s="133" t="n">
        <v>38632</v>
      </c>
      <c r="G6" s="91" t="s">
        <v>1025</v>
      </c>
      <c r="H6" s="91" t="s">
        <v>584</v>
      </c>
      <c r="I6" s="125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9"/>
      <c r="AB6" s="29"/>
      <c r="AC6" s="29"/>
    </row>
    <row r="7" customFormat="false" ht="15.75" hidden="false" customHeight="false" outlineLevel="0" collapsed="false">
      <c r="A7" s="14" t="n">
        <v>3</v>
      </c>
      <c r="B7" s="14" t="s">
        <v>1150</v>
      </c>
      <c r="C7" s="14" t="n">
        <v>26285</v>
      </c>
      <c r="D7" s="14" t="s">
        <v>1151</v>
      </c>
      <c r="E7" s="14" t="s">
        <v>1152</v>
      </c>
      <c r="F7" s="14" t="s">
        <v>1153</v>
      </c>
      <c r="G7" s="14" t="s">
        <v>1025</v>
      </c>
      <c r="H7" s="14" t="s">
        <v>617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29"/>
      <c r="AB7" s="29"/>
      <c r="AC7" s="29"/>
    </row>
    <row r="8" customFormat="false" ht="15.75" hidden="false" customHeight="false" outlineLevel="0" collapsed="false">
      <c r="A8" s="91" t="n">
        <v>4</v>
      </c>
      <c r="B8" s="91" t="s">
        <v>1154</v>
      </c>
      <c r="C8" s="125"/>
      <c r="D8" s="91" t="s">
        <v>1155</v>
      </c>
      <c r="E8" s="91" t="s">
        <v>1156</v>
      </c>
      <c r="F8" s="133" t="n">
        <v>38660</v>
      </c>
      <c r="G8" s="125"/>
      <c r="H8" s="91" t="s">
        <v>587</v>
      </c>
      <c r="I8" s="125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29"/>
      <c r="AB8" s="29"/>
      <c r="AC8" s="29"/>
    </row>
    <row r="9" customFormat="false" ht="15.75" hidden="false" customHeight="false" outlineLevel="0" collapsed="false">
      <c r="A9" s="14" t="n">
        <v>5</v>
      </c>
      <c r="B9" s="14" t="s">
        <v>1157</v>
      </c>
      <c r="C9" s="14" t="n">
        <v>26320</v>
      </c>
      <c r="D9" s="14" t="s">
        <v>1158</v>
      </c>
      <c r="E9" s="14" t="s">
        <v>1159</v>
      </c>
      <c r="F9" s="47" t="n">
        <v>39060</v>
      </c>
      <c r="G9" s="11"/>
      <c r="H9" s="14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9"/>
      <c r="AB9" s="29"/>
      <c r="AC9" s="29"/>
    </row>
    <row r="10" customFormat="false" ht="15.75" hidden="false" customHeight="false" outlineLevel="0" collapsed="false">
      <c r="A10" s="91" t="n">
        <v>6</v>
      </c>
      <c r="B10" s="125" t="s">
        <v>1160</v>
      </c>
      <c r="C10" s="91" t="n">
        <v>26323</v>
      </c>
      <c r="D10" s="91" t="s">
        <v>1161</v>
      </c>
      <c r="E10" s="91" t="s">
        <v>1162</v>
      </c>
      <c r="F10" s="91" t="s">
        <v>1163</v>
      </c>
      <c r="G10" s="91" t="s">
        <v>979</v>
      </c>
      <c r="H10" s="91" t="s">
        <v>1164</v>
      </c>
      <c r="I10" s="125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9"/>
      <c r="AB10" s="29"/>
      <c r="AC10" s="29"/>
    </row>
    <row r="11" customFormat="false" ht="15.75" hidden="false" customHeight="false" outlineLevel="0" collapsed="false">
      <c r="A11" s="14" t="n">
        <v>7</v>
      </c>
      <c r="B11" s="14" t="s">
        <v>1165</v>
      </c>
      <c r="C11" s="14" t="n">
        <v>26318</v>
      </c>
      <c r="D11" s="14" t="s">
        <v>1166</v>
      </c>
      <c r="E11" s="14" t="s">
        <v>1167</v>
      </c>
      <c r="F11" s="47" t="n">
        <v>38475</v>
      </c>
      <c r="G11" s="14" t="s">
        <v>1025</v>
      </c>
      <c r="H11" s="14" t="s">
        <v>1168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9"/>
      <c r="AB11" s="29"/>
      <c r="AC11" s="29"/>
    </row>
    <row r="12" customFormat="false" ht="15.75" hidden="false" customHeight="false" outlineLevel="0" collapsed="false">
      <c r="A12" s="91" t="n">
        <v>8</v>
      </c>
      <c r="B12" s="68" t="s">
        <v>1169</v>
      </c>
      <c r="C12" s="68" t="n">
        <v>25231</v>
      </c>
      <c r="D12" s="91" t="s">
        <v>210</v>
      </c>
      <c r="E12" s="91" t="s">
        <v>874</v>
      </c>
      <c r="F12" s="91" t="s">
        <v>1170</v>
      </c>
      <c r="G12" s="91" t="s">
        <v>979</v>
      </c>
      <c r="H12" s="91" t="s">
        <v>584</v>
      </c>
      <c r="I12" s="12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9"/>
      <c r="AB12" s="29"/>
      <c r="AC12" s="29"/>
    </row>
    <row r="13" customFormat="false" ht="15.75" hidden="false" customHeight="false" outlineLevel="0" collapsed="false">
      <c r="A13" s="14" t="n">
        <v>9</v>
      </c>
      <c r="B13" s="14" t="s">
        <v>1171</v>
      </c>
      <c r="C13" s="14" t="n">
        <v>26326</v>
      </c>
      <c r="D13" s="14" t="s">
        <v>1172</v>
      </c>
      <c r="E13" s="14" t="s">
        <v>1173</v>
      </c>
      <c r="F13" s="47" t="n">
        <v>38028</v>
      </c>
      <c r="G13" s="11"/>
      <c r="H13" s="14" t="s">
        <v>617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9"/>
      <c r="AB13" s="29"/>
      <c r="AC13" s="29"/>
    </row>
    <row r="14" customFormat="false" ht="15.75" hidden="false" customHeight="false" outlineLevel="0" collapsed="false">
      <c r="A14" s="91" t="n">
        <v>10</v>
      </c>
      <c r="B14" s="91" t="s">
        <v>1174</v>
      </c>
      <c r="C14" s="91" t="n">
        <v>26327</v>
      </c>
      <c r="D14" s="91" t="s">
        <v>1175</v>
      </c>
      <c r="E14" s="91" t="s">
        <v>1176</v>
      </c>
      <c r="F14" s="91" t="s">
        <v>1177</v>
      </c>
      <c r="G14" s="125"/>
      <c r="H14" s="91" t="s">
        <v>617</v>
      </c>
      <c r="I14" s="9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customFormat="false" ht="15.75" hidden="false" customHeight="false" outlineLevel="0" collapsed="false">
      <c r="A15" s="14" t="n">
        <v>11</v>
      </c>
      <c r="B15" s="14" t="s">
        <v>1178</v>
      </c>
      <c r="C15" s="14" t="n">
        <v>26328</v>
      </c>
      <c r="D15" s="14" t="s">
        <v>1179</v>
      </c>
      <c r="E15" s="14" t="s">
        <v>1180</v>
      </c>
      <c r="F15" s="14" t="s">
        <v>1181</v>
      </c>
      <c r="G15" s="14" t="s">
        <v>1006</v>
      </c>
      <c r="H15" s="14" t="s">
        <v>617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29"/>
      <c r="AB15" s="29"/>
      <c r="AC15" s="29"/>
    </row>
    <row r="16" customFormat="false" ht="15.75" hidden="false" customHeight="false" outlineLevel="0" collapsed="false">
      <c r="A16" s="91" t="n">
        <v>12</v>
      </c>
      <c r="B16" s="91" t="s">
        <v>1182</v>
      </c>
      <c r="C16" s="91" t="n">
        <v>26310</v>
      </c>
      <c r="D16" s="91" t="s">
        <v>1183</v>
      </c>
      <c r="E16" s="91" t="s">
        <v>1184</v>
      </c>
      <c r="F16" s="91" t="s">
        <v>1185</v>
      </c>
      <c r="G16" s="91" t="s">
        <v>979</v>
      </c>
      <c r="H16" s="91" t="s">
        <v>587</v>
      </c>
      <c r="I16" s="125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29"/>
      <c r="AB16" s="29"/>
      <c r="AC16" s="29"/>
    </row>
    <row r="17" customFormat="false" ht="15.75" hidden="false" customHeight="false" outlineLevel="0" collapsed="false">
      <c r="A17" s="14" t="n">
        <v>13</v>
      </c>
      <c r="B17" s="135" t="s">
        <v>1186</v>
      </c>
      <c r="C17" s="14" t="n">
        <v>26335</v>
      </c>
      <c r="D17" s="14" t="s">
        <v>1187</v>
      </c>
      <c r="E17" s="14" t="s">
        <v>1188</v>
      </c>
      <c r="F17" s="47" t="n">
        <v>38231</v>
      </c>
      <c r="G17" s="14" t="s">
        <v>979</v>
      </c>
      <c r="H17" s="14" t="s">
        <v>697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29"/>
      <c r="AB17" s="29"/>
      <c r="AC17" s="29"/>
    </row>
    <row r="18" customFormat="false" ht="15.75" hidden="false" customHeight="false" outlineLevel="0" collapsed="false">
      <c r="A18" s="91" t="n">
        <v>14</v>
      </c>
      <c r="B18" s="135" t="s">
        <v>1189</v>
      </c>
      <c r="C18" s="91" t="n">
        <v>26264</v>
      </c>
      <c r="D18" s="91" t="s">
        <v>1190</v>
      </c>
      <c r="E18" s="91" t="s">
        <v>1191</v>
      </c>
      <c r="F18" s="133" t="n">
        <v>39152</v>
      </c>
      <c r="G18" s="91" t="s">
        <v>1025</v>
      </c>
      <c r="H18" s="91" t="s">
        <v>584</v>
      </c>
      <c r="I18" s="125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customFormat="false" ht="15.75" hidden="false" customHeight="false" outlineLevel="0" collapsed="false">
      <c r="A19" s="14" t="n">
        <v>15</v>
      </c>
      <c r="B19" s="20" t="s">
        <v>1192</v>
      </c>
      <c r="C19" s="14" t="n">
        <v>26269</v>
      </c>
      <c r="D19" s="14" t="s">
        <v>1193</v>
      </c>
      <c r="E19" s="14" t="s">
        <v>1193</v>
      </c>
      <c r="F19" s="47" t="n">
        <v>39366</v>
      </c>
      <c r="G19" s="11"/>
      <c r="H19" s="14" t="s">
        <v>617</v>
      </c>
      <c r="I19" s="11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customFormat="false" ht="15.75" hidden="false" customHeight="false" outlineLevel="0" collapsed="false">
      <c r="A20" s="91" t="n">
        <v>16</v>
      </c>
      <c r="B20" s="91" t="s">
        <v>1194</v>
      </c>
      <c r="C20" s="91" t="n">
        <v>26324</v>
      </c>
      <c r="D20" s="91" t="s">
        <v>1195</v>
      </c>
      <c r="E20" s="91" t="s">
        <v>1196</v>
      </c>
      <c r="F20" s="91" t="s">
        <v>1197</v>
      </c>
      <c r="G20" s="125"/>
      <c r="H20" s="91" t="s">
        <v>584</v>
      </c>
      <c r="I20" s="125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customFormat="false" ht="15.75" hidden="false" customHeight="false" outlineLevel="0" collapsed="false">
      <c r="A21" s="14" t="n">
        <v>17</v>
      </c>
      <c r="B21" s="14" t="s">
        <v>1198</v>
      </c>
      <c r="C21" s="14" t="n">
        <v>26316</v>
      </c>
      <c r="D21" s="14" t="s">
        <v>1199</v>
      </c>
      <c r="E21" s="14" t="s">
        <v>1200</v>
      </c>
      <c r="F21" s="47" t="n">
        <v>39149</v>
      </c>
      <c r="G21" s="14" t="s">
        <v>979</v>
      </c>
      <c r="H21" s="14" t="s">
        <v>584</v>
      </c>
      <c r="I21" s="136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customFormat="false" ht="15.75" hidden="false" customHeight="false" outlineLevel="0" collapsed="false">
      <c r="A22" s="91" t="n">
        <v>18</v>
      </c>
      <c r="B22" s="91" t="s">
        <v>1070</v>
      </c>
      <c r="C22" s="91" t="n">
        <v>26271</v>
      </c>
      <c r="D22" s="91" t="s">
        <v>1071</v>
      </c>
      <c r="E22" s="91" t="s">
        <v>1072</v>
      </c>
      <c r="F22" s="91" t="s">
        <v>1073</v>
      </c>
      <c r="G22" s="91" t="s">
        <v>1006</v>
      </c>
      <c r="I22" s="125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9"/>
      <c r="AB22" s="29"/>
      <c r="AC22" s="29"/>
    </row>
    <row r="23" customFormat="false" ht="15.75" hidden="false" customHeight="false" outlineLevel="0" collapsed="false">
      <c r="A23" s="14" t="n">
        <v>19</v>
      </c>
      <c r="B23" s="14" t="s">
        <v>1087</v>
      </c>
      <c r="C23" s="14" t="n">
        <v>26292</v>
      </c>
      <c r="D23" s="14" t="s">
        <v>1088</v>
      </c>
      <c r="E23" s="14" t="s">
        <v>1089</v>
      </c>
      <c r="F23" s="47" t="n">
        <v>34283</v>
      </c>
      <c r="G23" s="14" t="s">
        <v>1006</v>
      </c>
      <c r="H23" s="14" t="s">
        <v>617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9"/>
      <c r="AB23" s="29"/>
      <c r="AC23" s="29"/>
    </row>
    <row r="24" customFormat="false" ht="15.75" hidden="false" customHeight="false" outlineLevel="0" collapsed="false">
      <c r="A24" s="91" t="n">
        <v>20</v>
      </c>
      <c r="B24" s="91" t="s">
        <v>1090</v>
      </c>
      <c r="C24" s="91" t="n">
        <v>26289</v>
      </c>
      <c r="D24" s="91" t="s">
        <v>1091</v>
      </c>
      <c r="E24" s="91" t="s">
        <v>1092</v>
      </c>
      <c r="F24" s="133" t="n">
        <v>39030</v>
      </c>
      <c r="G24" s="91" t="s">
        <v>979</v>
      </c>
      <c r="H24" s="91" t="s">
        <v>617</v>
      </c>
      <c r="I24" s="125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9"/>
      <c r="AB24" s="29"/>
      <c r="AC24" s="29"/>
    </row>
    <row r="25" customFormat="false" ht="15.75" hidden="false" customHeight="false" outlineLevel="0" collapsed="false">
      <c r="A25" s="14" t="n">
        <v>21</v>
      </c>
      <c r="B25" s="14" t="s">
        <v>1094</v>
      </c>
      <c r="C25" s="14" t="n">
        <v>26284</v>
      </c>
      <c r="D25" s="14" t="s">
        <v>1095</v>
      </c>
      <c r="E25" s="14" t="s">
        <v>1096</v>
      </c>
      <c r="F25" s="47" t="n">
        <v>38362</v>
      </c>
      <c r="G25" s="14" t="s">
        <v>988</v>
      </c>
      <c r="H25" s="11" t="s">
        <v>587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9"/>
      <c r="AB25" s="29"/>
      <c r="AC25" s="29"/>
    </row>
    <row r="26" customFormat="false" ht="15.75" hidden="false" customHeight="false" outlineLevel="0" collapsed="false">
      <c r="A26" s="91" t="n">
        <v>22</v>
      </c>
      <c r="B26" s="91" t="s">
        <v>1097</v>
      </c>
      <c r="C26" s="91" t="n">
        <v>26314</v>
      </c>
      <c r="D26" s="91" t="s">
        <v>289</v>
      </c>
      <c r="E26" s="91" t="s">
        <v>1098</v>
      </c>
      <c r="F26" s="133" t="n">
        <v>36529</v>
      </c>
      <c r="G26" s="91" t="s">
        <v>1025</v>
      </c>
      <c r="H26" s="125" t="s">
        <v>584</v>
      </c>
      <c r="I26" s="125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9"/>
      <c r="AB26" s="29"/>
      <c r="AC26" s="29"/>
    </row>
    <row r="27" customFormat="false" ht="15.75" hidden="false" customHeight="false" outlineLevel="0" collapsed="false"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customFormat="false" ht="15.75" hidden="false" customHeight="false" outlineLevel="0" collapsed="false"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customFormat="false" ht="15.75" hidden="false" customHeight="false" outlineLevel="0" collapsed="false"/>
    <row r="30" customFormat="false" ht="15.75" hidden="false" customHeight="false" outlineLevel="0" collapsed="false"/>
  </sheetData>
  <autoFilter ref="A1:I26"/>
  <mergeCells count="4">
    <mergeCell ref="A1:I1"/>
    <mergeCell ref="A2:I2"/>
    <mergeCell ref="A3:E3"/>
    <mergeCell ref="F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12"/>
    <col collapsed="false" customWidth="true" hidden="false" outlineLevel="0" max="2" min="2" style="0" width="27.75"/>
    <col collapsed="false" customWidth="true" hidden="false" outlineLevel="0" max="4" min="4" style="0" width="20.8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8" style="0" width="15.38"/>
    <col collapsed="false" customWidth="true" hidden="false" outlineLevel="0" max="9" min="9" style="0" width="18.38"/>
  </cols>
  <sheetData>
    <row r="1" customFormat="false" ht="29.1" hidden="false" customHeight="false" outlineLevel="0" collapsed="false">
      <c r="A1" s="4" t="s">
        <v>1201</v>
      </c>
      <c r="B1" s="4"/>
      <c r="C1" s="4"/>
      <c r="D1" s="4"/>
      <c r="E1" s="4"/>
      <c r="F1" s="4"/>
      <c r="G1" s="4"/>
      <c r="H1" s="4"/>
      <c r="I1" s="4"/>
    </row>
    <row r="2" customFormat="false" ht="15.75" hidden="false" customHeight="false" outlineLevel="0" collapsed="false">
      <c r="A2" s="131" t="s">
        <v>973</v>
      </c>
      <c r="B2" s="131"/>
      <c r="C2" s="131"/>
      <c r="D2" s="131"/>
      <c r="E2" s="131"/>
      <c r="F2" s="131"/>
      <c r="G2" s="131"/>
      <c r="H2" s="131"/>
      <c r="I2" s="131"/>
    </row>
    <row r="3" customFormat="false" ht="17.35" hidden="false" customHeight="false" outlineLevel="0" collapsed="false">
      <c r="A3" s="6" t="s">
        <v>1202</v>
      </c>
      <c r="B3" s="6"/>
      <c r="C3" s="6"/>
      <c r="D3" s="6"/>
      <c r="E3" s="6"/>
      <c r="F3" s="6" t="s">
        <v>975</v>
      </c>
      <c r="G3" s="6"/>
      <c r="H3" s="6"/>
      <c r="I3" s="6"/>
    </row>
    <row r="4" customFormat="false" ht="17.35" hidden="false" customHeight="false" outlineLevel="0" collapsed="false">
      <c r="A4" s="7" t="s">
        <v>48</v>
      </c>
      <c r="B4" s="8" t="s">
        <v>4</v>
      </c>
      <c r="C4" s="9" t="s">
        <v>49</v>
      </c>
      <c r="D4" s="8" t="s">
        <v>5</v>
      </c>
      <c r="E4" s="8" t="s">
        <v>6</v>
      </c>
      <c r="F4" s="8" t="s">
        <v>50</v>
      </c>
      <c r="G4" s="7" t="s">
        <v>51</v>
      </c>
      <c r="H4" s="137" t="s">
        <v>577</v>
      </c>
      <c r="I4" s="8" t="s">
        <v>53</v>
      </c>
    </row>
    <row r="5" customFormat="false" ht="15.75" hidden="false" customHeight="false" outlineLevel="0" collapsed="false">
      <c r="A5" s="10" t="n">
        <v>1</v>
      </c>
      <c r="B5" s="14" t="s">
        <v>1203</v>
      </c>
      <c r="C5" s="14" t="n">
        <v>26325</v>
      </c>
      <c r="D5" s="14" t="s">
        <v>1204</v>
      </c>
      <c r="E5" s="14" t="s">
        <v>1205</v>
      </c>
      <c r="F5" s="14" t="s">
        <v>1206</v>
      </c>
      <c r="G5" s="11"/>
      <c r="H5" s="11" t="s">
        <v>697</v>
      </c>
      <c r="I5" s="11"/>
    </row>
    <row r="6" customFormat="false" ht="15.75" hidden="false" customHeight="false" outlineLevel="0" collapsed="false">
      <c r="A6" s="10" t="n">
        <v>2</v>
      </c>
      <c r="B6" s="91" t="s">
        <v>1207</v>
      </c>
      <c r="C6" s="12" t="n">
        <v>26343</v>
      </c>
      <c r="D6" s="12" t="s">
        <v>1208</v>
      </c>
      <c r="E6" s="12"/>
      <c r="F6" s="46" t="n">
        <v>38421</v>
      </c>
      <c r="G6" s="13"/>
      <c r="H6" s="12" t="s">
        <v>587</v>
      </c>
      <c r="I6" s="13"/>
    </row>
    <row r="7" customFormat="false" ht="15.75" hidden="false" customHeight="false" outlineLevel="0" collapsed="false">
      <c r="A7" s="10" t="n">
        <v>3</v>
      </c>
      <c r="B7" s="14" t="s">
        <v>1209</v>
      </c>
      <c r="C7" s="14" t="n">
        <v>26342</v>
      </c>
      <c r="D7" s="14" t="s">
        <v>1210</v>
      </c>
      <c r="E7" s="14"/>
      <c r="F7" s="14" t="s">
        <v>1211</v>
      </c>
      <c r="G7" s="11"/>
      <c r="H7" s="12" t="s">
        <v>587</v>
      </c>
      <c r="I7" s="11"/>
    </row>
    <row r="8" customFormat="false" ht="15.75" hidden="false" customHeight="false" outlineLevel="0" collapsed="false">
      <c r="A8" s="10" t="n">
        <v>4</v>
      </c>
      <c r="B8" s="91" t="s">
        <v>1212</v>
      </c>
      <c r="C8" s="12" t="n">
        <v>26329</v>
      </c>
      <c r="D8" s="12" t="s">
        <v>1213</v>
      </c>
      <c r="E8" s="12" t="s">
        <v>1214</v>
      </c>
      <c r="F8" s="12" t="s">
        <v>1215</v>
      </c>
      <c r="G8" s="13"/>
      <c r="H8" s="12" t="s">
        <v>587</v>
      </c>
      <c r="I8" s="13"/>
    </row>
    <row r="9" customFormat="false" ht="15.75" hidden="false" customHeight="false" outlineLevel="0" collapsed="false">
      <c r="A9" s="10" t="n">
        <v>5</v>
      </c>
      <c r="B9" s="14" t="s">
        <v>1216</v>
      </c>
      <c r="C9" s="12" t="n">
        <v>26331</v>
      </c>
      <c r="D9" s="12" t="s">
        <v>1217</v>
      </c>
      <c r="E9" s="12" t="s">
        <v>1218</v>
      </c>
      <c r="F9" s="46" t="n">
        <v>39428</v>
      </c>
      <c r="G9" s="12"/>
      <c r="H9" s="12" t="s">
        <v>617</v>
      </c>
      <c r="I9" s="11"/>
    </row>
    <row r="10" customFormat="false" ht="15.75" hidden="false" customHeight="false" outlineLevel="0" collapsed="false">
      <c r="A10" s="10" t="n">
        <v>6</v>
      </c>
      <c r="B10" s="91" t="s">
        <v>1219</v>
      </c>
      <c r="C10" s="14" t="n">
        <v>26332</v>
      </c>
      <c r="D10" s="14" t="s">
        <v>1220</v>
      </c>
      <c r="E10" s="14" t="s">
        <v>1221</v>
      </c>
      <c r="F10" s="14" t="s">
        <v>1222</v>
      </c>
      <c r="G10" s="14" t="s">
        <v>1069</v>
      </c>
      <c r="H10" s="14" t="s">
        <v>584</v>
      </c>
      <c r="I10" s="13"/>
    </row>
    <row r="11" customFormat="false" ht="15.75" hidden="false" customHeight="false" outlineLevel="0" collapsed="false">
      <c r="A11" s="10" t="n">
        <v>7</v>
      </c>
      <c r="B11" s="14" t="s">
        <v>1223</v>
      </c>
      <c r="C11" s="12" t="n">
        <v>26333</v>
      </c>
      <c r="D11" s="12" t="s">
        <v>1224</v>
      </c>
      <c r="E11" s="12" t="s">
        <v>1225</v>
      </c>
      <c r="F11" s="12" t="s">
        <v>1226</v>
      </c>
      <c r="G11" s="12" t="s">
        <v>1025</v>
      </c>
      <c r="H11" s="14" t="s">
        <v>584</v>
      </c>
      <c r="I11" s="11"/>
    </row>
    <row r="12" customFormat="false" ht="15.75" hidden="false" customHeight="false" outlineLevel="0" collapsed="false">
      <c r="A12" s="10" t="n">
        <v>8</v>
      </c>
      <c r="B12" s="113" t="s">
        <v>1227</v>
      </c>
      <c r="C12" s="27" t="n">
        <v>26337</v>
      </c>
      <c r="D12" s="27" t="s">
        <v>1228</v>
      </c>
      <c r="E12" s="27" t="s">
        <v>1229</v>
      </c>
      <c r="F12" s="27" t="s">
        <v>1230</v>
      </c>
      <c r="G12" s="27"/>
      <c r="H12" s="27" t="s">
        <v>617</v>
      </c>
      <c r="I12" s="13"/>
    </row>
    <row r="13" customFormat="false" ht="15.75" hidden="false" customHeight="false" outlineLevel="0" collapsed="false">
      <c r="A13" s="27" t="n">
        <v>10</v>
      </c>
      <c r="B13" s="14" t="s">
        <v>1231</v>
      </c>
      <c r="C13" s="12" t="n">
        <v>26338</v>
      </c>
      <c r="D13" s="14" t="s">
        <v>1232</v>
      </c>
      <c r="E13" s="11"/>
      <c r="F13" s="14" t="s">
        <v>1233</v>
      </c>
      <c r="G13" s="11"/>
      <c r="H13" s="11"/>
    </row>
    <row r="14" customFormat="false" ht="15.75" hidden="false" customHeight="false" outlineLevel="0" collapsed="false">
      <c r="A14" s="10" t="n">
        <v>11</v>
      </c>
      <c r="B14" s="91" t="s">
        <v>1234</v>
      </c>
      <c r="C14" s="14" t="n">
        <v>26339</v>
      </c>
      <c r="D14" s="14" t="s">
        <v>1235</v>
      </c>
      <c r="E14" s="14" t="s">
        <v>1236</v>
      </c>
      <c r="F14" s="138" t="n">
        <v>37840</v>
      </c>
      <c r="G14" s="14" t="s">
        <v>979</v>
      </c>
      <c r="H14" s="93" t="s">
        <v>587</v>
      </c>
      <c r="I14" s="11"/>
    </row>
    <row r="15" customFormat="false" ht="15.75" hidden="false" customHeight="false" outlineLevel="0" collapsed="false">
      <c r="A15" s="10" t="n">
        <v>12</v>
      </c>
      <c r="B15" s="11" t="s">
        <v>1237</v>
      </c>
      <c r="C15" s="12" t="n">
        <v>26315</v>
      </c>
      <c r="D15" s="12" t="s">
        <v>1238</v>
      </c>
      <c r="E15" s="12" t="s">
        <v>1239</v>
      </c>
      <c r="F15" s="12" t="s">
        <v>1240</v>
      </c>
      <c r="G15" s="12" t="s">
        <v>979</v>
      </c>
      <c r="H15" s="12" t="s">
        <v>587</v>
      </c>
      <c r="I15" s="13"/>
    </row>
    <row r="16" customFormat="false" ht="15.75" hidden="false" customHeight="false" outlineLevel="0" collapsed="false">
      <c r="A16" s="10" t="n">
        <v>13</v>
      </c>
      <c r="B16" s="11"/>
      <c r="C16" s="13"/>
      <c r="D16" s="11"/>
      <c r="E16" s="11"/>
      <c r="F16" s="11"/>
      <c r="G16" s="11"/>
      <c r="H16" s="11"/>
      <c r="I16" s="11"/>
    </row>
    <row r="17" customFormat="false" ht="15.75" hidden="false" customHeight="false" outlineLevel="0" collapsed="false">
      <c r="A17" s="10" t="n">
        <v>14</v>
      </c>
      <c r="B17" s="13"/>
      <c r="C17" s="13"/>
      <c r="D17" s="13"/>
      <c r="E17" s="13"/>
      <c r="F17" s="13"/>
      <c r="G17" s="13"/>
      <c r="H17" s="13"/>
      <c r="I17" s="13"/>
    </row>
    <row r="18" customFormat="false" ht="15.75" hidden="false" customHeight="false" outlineLevel="0" collapsed="false">
      <c r="A18" s="10" t="n">
        <v>15</v>
      </c>
      <c r="B18" s="11"/>
      <c r="C18" s="13"/>
      <c r="D18" s="11"/>
      <c r="E18" s="11"/>
      <c r="F18" s="11"/>
      <c r="G18" s="11"/>
      <c r="H18" s="11"/>
      <c r="I18" s="11"/>
    </row>
    <row r="19" customFormat="false" ht="15.75" hidden="false" customHeight="false" outlineLevel="0" collapsed="false">
      <c r="A19" s="10" t="n">
        <v>16</v>
      </c>
      <c r="B19" s="13"/>
      <c r="C19" s="13"/>
      <c r="D19" s="13"/>
      <c r="E19" s="13"/>
      <c r="F19" s="13"/>
      <c r="G19" s="13"/>
      <c r="H19" s="13"/>
      <c r="I19" s="13"/>
    </row>
    <row r="20" customFormat="false" ht="15.75" hidden="false" customHeight="fals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  <c r="I20" s="11"/>
    </row>
    <row r="21" customFormat="false" ht="15.75" hidden="false" customHeight="false" outlineLevel="0" collapsed="false">
      <c r="A21" s="10" t="s">
        <v>54</v>
      </c>
      <c r="B21" s="13"/>
      <c r="C21" s="13"/>
      <c r="D21" s="13"/>
      <c r="E21" s="13"/>
      <c r="F21" s="13"/>
      <c r="G21" s="13"/>
      <c r="H21" s="13"/>
      <c r="I21" s="13"/>
    </row>
    <row r="22" customFormat="false" ht="15.75" hidden="false" customHeight="false" outlineLevel="0" collapsed="false">
      <c r="A22" s="10" t="n">
        <v>19</v>
      </c>
      <c r="B22" s="11"/>
      <c r="C22" s="11"/>
      <c r="D22" s="11"/>
      <c r="E22" s="11"/>
      <c r="F22" s="11"/>
      <c r="G22" s="11"/>
      <c r="H22" s="11"/>
      <c r="I22" s="11"/>
    </row>
    <row r="23" customFormat="false" ht="15.75" hidden="false" customHeight="false" outlineLevel="0" collapsed="false">
      <c r="A23" s="10" t="n">
        <v>20</v>
      </c>
      <c r="B23" s="13"/>
      <c r="C23" s="13"/>
      <c r="D23" s="13"/>
      <c r="E23" s="13"/>
      <c r="F23" s="13"/>
      <c r="G23" s="13"/>
      <c r="H23" s="13"/>
      <c r="I23" s="13"/>
    </row>
    <row r="24" customFormat="false" ht="15.75" hidden="false" customHeight="false" outlineLevel="0" collapsed="false">
      <c r="A24" s="10" t="n">
        <v>21</v>
      </c>
      <c r="B24" s="11"/>
      <c r="C24" s="11"/>
      <c r="D24" s="11"/>
      <c r="E24" s="11"/>
      <c r="F24" s="11"/>
      <c r="G24" s="11"/>
      <c r="H24" s="11"/>
      <c r="I24" s="11"/>
    </row>
    <row r="25" customFormat="false" ht="15.75" hidden="false" customHeight="false" outlineLevel="0" collapsed="false">
      <c r="A25" s="10" t="n">
        <v>22</v>
      </c>
      <c r="B25" s="13"/>
      <c r="C25" s="13"/>
      <c r="D25" s="13"/>
      <c r="E25" s="13"/>
      <c r="F25" s="13"/>
      <c r="G25" s="13"/>
      <c r="H25" s="13"/>
      <c r="I25" s="13"/>
    </row>
    <row r="26" customFormat="false" ht="15.75" hidden="false" customHeight="false" outlineLevel="0" collapsed="false">
      <c r="A26" s="10" t="n">
        <v>23</v>
      </c>
      <c r="B26" s="11"/>
      <c r="C26" s="11"/>
      <c r="D26" s="11"/>
      <c r="E26" s="11"/>
      <c r="F26" s="11"/>
      <c r="G26" s="11"/>
      <c r="H26" s="11"/>
      <c r="I26" s="11"/>
    </row>
  </sheetData>
  <mergeCells count="4">
    <mergeCell ref="A1:I1"/>
    <mergeCell ref="A2:I2"/>
    <mergeCell ref="A3:E3"/>
    <mergeCell ref="F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29.13"/>
    <col collapsed="false" customWidth="true" hidden="false" outlineLevel="0" max="3" min="3" style="0" width="12.38"/>
    <col collapsed="false" customWidth="true" hidden="false" outlineLevel="0" max="4" min="4" style="0" width="21.88"/>
    <col collapsed="false" customWidth="true" hidden="false" outlineLevel="0" max="5" min="5" style="0" width="25.38"/>
    <col collapsed="false" customWidth="true" hidden="false" outlineLevel="0" max="6" min="6" style="0" width="18.38"/>
    <col collapsed="false" customWidth="true" hidden="false" outlineLevel="0" max="7" min="7" style="0" width="16.75"/>
    <col collapsed="false" customWidth="true" hidden="false" outlineLevel="0" max="8" min="8" style="0" width="25.75"/>
    <col collapsed="false" customWidth="true" hidden="false" outlineLevel="0" max="9" min="9" style="0" width="30.88"/>
  </cols>
  <sheetData>
    <row r="1" customFormat="false" ht="29.1" hidden="false" customHeight="false" outlineLevel="0" collapsed="false">
      <c r="A1" s="4" t="s">
        <v>1241</v>
      </c>
      <c r="B1" s="4"/>
      <c r="C1" s="4"/>
      <c r="D1" s="4"/>
      <c r="E1" s="4"/>
      <c r="F1" s="4"/>
      <c r="G1" s="4"/>
      <c r="H1" s="4"/>
      <c r="I1" s="4"/>
    </row>
    <row r="2" customFormat="false" ht="21.6" hidden="false" customHeight="false" outlineLevel="0" collapsed="false">
      <c r="A2" s="6" t="s">
        <v>1242</v>
      </c>
      <c r="B2" s="6"/>
      <c r="C2" s="6"/>
      <c r="D2" s="6"/>
      <c r="E2" s="6"/>
      <c r="F2" s="6" t="s">
        <v>975</v>
      </c>
      <c r="G2" s="6"/>
      <c r="H2" s="6"/>
      <c r="I2" s="6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7" t="s">
        <v>577</v>
      </c>
      <c r="H3" s="9" t="s">
        <v>52</v>
      </c>
      <c r="I3" s="8" t="s">
        <v>53</v>
      </c>
    </row>
    <row r="4" customFormat="false" ht="15.75" hidden="false" customHeight="false" outlineLevel="0" collapsed="false">
      <c r="A4" s="10" t="n">
        <v>1</v>
      </c>
      <c r="B4" s="14" t="s">
        <v>1243</v>
      </c>
      <c r="C4" s="14" t="n">
        <v>26340</v>
      </c>
      <c r="D4" s="14" t="s">
        <v>1244</v>
      </c>
      <c r="E4" s="14" t="s">
        <v>1245</v>
      </c>
      <c r="F4" s="47" t="n">
        <v>38844</v>
      </c>
      <c r="G4" s="14" t="s">
        <v>587</v>
      </c>
      <c r="H4" s="14" t="s">
        <v>1025</v>
      </c>
      <c r="I4" s="11"/>
    </row>
    <row r="5" customFormat="false" ht="15.75" hidden="false" customHeight="false" outlineLevel="0" collapsed="false">
      <c r="A5" s="10" t="n">
        <v>2</v>
      </c>
      <c r="B5" s="12" t="s">
        <v>1246</v>
      </c>
      <c r="C5" s="12" t="n">
        <v>26341</v>
      </c>
      <c r="D5" s="12" t="s">
        <v>1247</v>
      </c>
      <c r="E5" s="12" t="s">
        <v>1248</v>
      </c>
      <c r="F5" s="46" t="n">
        <v>39060</v>
      </c>
      <c r="G5" s="12" t="s">
        <v>587</v>
      </c>
      <c r="H5" s="12" t="s">
        <v>979</v>
      </c>
      <c r="I5" s="13"/>
    </row>
    <row r="6" customFormat="false" ht="15.75" hidden="false" customHeight="false" outlineLevel="0" collapsed="false">
      <c r="A6" s="10" t="n">
        <v>3</v>
      </c>
      <c r="B6" s="14" t="s">
        <v>1249</v>
      </c>
      <c r="C6" s="14" t="n">
        <v>26344</v>
      </c>
      <c r="D6" s="14" t="s">
        <v>1250</v>
      </c>
      <c r="E6" s="14" t="s">
        <v>1251</v>
      </c>
      <c r="F6" s="14" t="s">
        <v>1252</v>
      </c>
      <c r="G6" s="14" t="s">
        <v>584</v>
      </c>
      <c r="H6" s="12" t="s">
        <v>979</v>
      </c>
      <c r="I6" s="11"/>
    </row>
    <row r="7" customFormat="false" ht="15.75" hidden="false" customHeight="false" outlineLevel="0" collapsed="false">
      <c r="A7" s="10" t="n">
        <v>4</v>
      </c>
      <c r="B7" s="12" t="s">
        <v>1253</v>
      </c>
      <c r="C7" s="12" t="n">
        <v>26349</v>
      </c>
      <c r="D7" s="12" t="s">
        <v>1254</v>
      </c>
      <c r="E7" s="12" t="s">
        <v>1255</v>
      </c>
      <c r="F7" s="12" t="s">
        <v>1256</v>
      </c>
      <c r="G7" s="13"/>
      <c r="H7" s="12" t="s">
        <v>979</v>
      </c>
      <c r="I7" s="13"/>
    </row>
    <row r="8" customFormat="false" ht="15.75" hidden="false" customHeight="false" outlineLevel="0" collapsed="false">
      <c r="A8" s="10" t="n">
        <v>5</v>
      </c>
      <c r="B8" s="14" t="s">
        <v>1107</v>
      </c>
      <c r="C8" s="14" t="n">
        <v>25210</v>
      </c>
      <c r="D8" s="14" t="s">
        <v>183</v>
      </c>
      <c r="E8" s="14" t="s">
        <v>860</v>
      </c>
      <c r="F8" s="47" t="n">
        <v>36749</v>
      </c>
      <c r="G8" s="14" t="s">
        <v>617</v>
      </c>
      <c r="I8" s="11"/>
    </row>
    <row r="9" customFormat="false" ht="15.75" hidden="false" customHeight="false" outlineLevel="0" collapsed="false">
      <c r="A9" s="10" t="n">
        <v>6</v>
      </c>
      <c r="B9" s="12" t="s">
        <v>1257</v>
      </c>
      <c r="C9" s="12" t="n">
        <v>26347</v>
      </c>
      <c r="D9" s="12" t="s">
        <v>1258</v>
      </c>
      <c r="E9" s="12" t="s">
        <v>1259</v>
      </c>
      <c r="F9" s="46" t="n">
        <v>39791</v>
      </c>
      <c r="G9" s="12"/>
      <c r="H9" s="12" t="s">
        <v>979</v>
      </c>
      <c r="I9" s="13"/>
    </row>
    <row r="10" customFormat="false" ht="15.75" hidden="false" customHeight="false" outlineLevel="0" collapsed="false">
      <c r="A10" s="10" t="n">
        <v>7</v>
      </c>
      <c r="B10" s="14" t="s">
        <v>1260</v>
      </c>
      <c r="C10" s="14" t="n">
        <v>26352</v>
      </c>
      <c r="D10" s="14" t="s">
        <v>1261</v>
      </c>
      <c r="E10" s="14" t="s">
        <v>1262</v>
      </c>
      <c r="F10" s="42" t="n">
        <v>39184</v>
      </c>
      <c r="G10" s="14" t="s">
        <v>617</v>
      </c>
      <c r="H10" s="14" t="s">
        <v>979</v>
      </c>
      <c r="I10" s="11"/>
    </row>
    <row r="11" customFormat="false" ht="15.75" hidden="false" customHeight="false" outlineLevel="0" collapsed="false">
      <c r="A11" s="10" t="n">
        <v>8</v>
      </c>
      <c r="B11" s="12" t="s">
        <v>1263</v>
      </c>
      <c r="C11" s="12" t="n">
        <v>26353</v>
      </c>
      <c r="D11" s="12" t="s">
        <v>1264</v>
      </c>
      <c r="E11" s="12" t="s">
        <v>1265</v>
      </c>
      <c r="F11" s="12" t="s">
        <v>1266</v>
      </c>
      <c r="G11" s="12" t="s">
        <v>617</v>
      </c>
      <c r="H11" s="14" t="s">
        <v>979</v>
      </c>
      <c r="I11" s="13"/>
    </row>
    <row r="12" customFormat="false" ht="15.75" hidden="false" customHeight="false" outlineLevel="0" collapsed="false">
      <c r="A12" s="10" t="n">
        <v>9</v>
      </c>
      <c r="B12" s="14" t="s">
        <v>1267</v>
      </c>
      <c r="C12" s="14" t="n">
        <v>26358</v>
      </c>
      <c r="D12" s="14" t="s">
        <v>1268</v>
      </c>
      <c r="E12" s="14" t="s">
        <v>1269</v>
      </c>
      <c r="F12" s="14" t="s">
        <v>1270</v>
      </c>
      <c r="G12" s="14" t="s">
        <v>587</v>
      </c>
      <c r="H12" s="14" t="s">
        <v>979</v>
      </c>
      <c r="I12" s="11"/>
    </row>
    <row r="13" customFormat="false" ht="15.75" hidden="false" customHeight="false" outlineLevel="0" collapsed="false">
      <c r="A13" s="10" t="n">
        <v>10</v>
      </c>
      <c r="B13" s="12" t="s">
        <v>1271</v>
      </c>
      <c r="C13" s="12" t="n">
        <v>26357</v>
      </c>
      <c r="D13" s="12" t="s">
        <v>1272</v>
      </c>
      <c r="E13" s="12" t="s">
        <v>1273</v>
      </c>
      <c r="F13" s="41" t="n">
        <v>38630</v>
      </c>
      <c r="G13" s="13"/>
      <c r="H13" s="14" t="s">
        <v>979</v>
      </c>
      <c r="I13" s="13"/>
    </row>
    <row r="14" customFormat="false" ht="15.75" hidden="false" customHeight="false" outlineLevel="0" collapsed="false">
      <c r="A14" s="10" t="n">
        <v>11</v>
      </c>
      <c r="B14" s="14" t="s">
        <v>1274</v>
      </c>
      <c r="C14" s="14"/>
      <c r="D14" s="14" t="s">
        <v>1275</v>
      </c>
      <c r="E14" s="14" t="s">
        <v>1276</v>
      </c>
      <c r="F14" s="42" t="n">
        <v>39083</v>
      </c>
      <c r="G14" s="14" t="s">
        <v>587</v>
      </c>
      <c r="H14" s="14" t="s">
        <v>979</v>
      </c>
      <c r="I14" s="11"/>
    </row>
    <row r="15" customFormat="false" ht="15.75" hidden="false" customHeight="false" outlineLevel="0" collapsed="false">
      <c r="A15" s="10" t="n">
        <v>12</v>
      </c>
      <c r="B15" s="12" t="s">
        <v>1277</v>
      </c>
      <c r="C15" s="12" t="n">
        <v>26364</v>
      </c>
      <c r="D15" s="12" t="s">
        <v>1278</v>
      </c>
      <c r="E15" s="12" t="s">
        <v>1279</v>
      </c>
      <c r="F15" s="41" t="n">
        <v>39693</v>
      </c>
      <c r="G15" s="12" t="s">
        <v>584</v>
      </c>
      <c r="H15" s="14" t="s">
        <v>979</v>
      </c>
      <c r="I15" s="13"/>
    </row>
    <row r="16" customFormat="false" ht="15.75" hidden="false" customHeight="false" outlineLevel="0" collapsed="false">
      <c r="A16" s="10" t="n">
        <v>13</v>
      </c>
      <c r="B16" s="38" t="s">
        <v>1280</v>
      </c>
      <c r="C16" s="14" t="n">
        <v>26365</v>
      </c>
      <c r="D16" s="14" t="s">
        <v>1281</v>
      </c>
      <c r="E16" s="14" t="s">
        <v>1279</v>
      </c>
      <c r="F16" s="42" t="n">
        <v>39693</v>
      </c>
      <c r="G16" s="14" t="s">
        <v>584</v>
      </c>
      <c r="H16" s="14" t="s">
        <v>979</v>
      </c>
      <c r="I16" s="11"/>
    </row>
    <row r="17" customFormat="false" ht="15.75" hidden="false" customHeight="false" outlineLevel="0" collapsed="false">
      <c r="A17" s="10" t="n">
        <v>14</v>
      </c>
      <c r="B17" s="12" t="s">
        <v>1282</v>
      </c>
      <c r="C17" s="12"/>
      <c r="D17" s="12" t="s">
        <v>1283</v>
      </c>
      <c r="E17" s="12" t="s">
        <v>1284</v>
      </c>
      <c r="F17" s="12" t="s">
        <v>1285</v>
      </c>
      <c r="G17" s="12" t="s">
        <v>617</v>
      </c>
      <c r="H17" s="12" t="s">
        <v>1025</v>
      </c>
      <c r="I17" s="13"/>
    </row>
    <row r="18" customFormat="false" ht="15.75" hidden="false" customHeight="false" outlineLevel="0" collapsed="false">
      <c r="A18" s="10" t="n">
        <v>15</v>
      </c>
      <c r="B18" s="14" t="s">
        <v>921</v>
      </c>
      <c r="C18" s="14" t="n">
        <v>25238</v>
      </c>
      <c r="D18" s="100" t="s">
        <v>922</v>
      </c>
      <c r="E18" s="20" t="s">
        <v>923</v>
      </c>
      <c r="F18" s="42" t="n">
        <v>39664</v>
      </c>
      <c r="G18" s="14" t="s">
        <v>587</v>
      </c>
      <c r="H18" s="11"/>
      <c r="I18" s="11"/>
    </row>
    <row r="19" customFormat="false" ht="15.75" hidden="false" customHeight="false" outlineLevel="0" collapsed="false">
      <c r="A19" s="10" t="n">
        <v>16</v>
      </c>
      <c r="B19" s="12" t="s">
        <v>1286</v>
      </c>
      <c r="C19" s="12" t="n">
        <v>26359</v>
      </c>
      <c r="D19" s="12" t="s">
        <v>1287</v>
      </c>
      <c r="E19" s="12" t="s">
        <v>1288</v>
      </c>
      <c r="F19" s="41" t="n">
        <v>39632</v>
      </c>
      <c r="G19" s="12" t="s">
        <v>587</v>
      </c>
      <c r="H19" s="14" t="s">
        <v>979</v>
      </c>
      <c r="I19" s="13"/>
    </row>
    <row r="20" customFormat="false" ht="15.75" hidden="false" customHeight="false" outlineLevel="0" collapsed="false">
      <c r="A20" s="10" t="n">
        <v>17</v>
      </c>
      <c r="B20" s="14" t="s">
        <v>1289</v>
      </c>
      <c r="C20" s="14" t="n">
        <v>26361</v>
      </c>
      <c r="D20" s="14" t="s">
        <v>1290</v>
      </c>
      <c r="E20" s="14" t="s">
        <v>1291</v>
      </c>
      <c r="F20" s="14" t="s">
        <v>1292</v>
      </c>
      <c r="G20" s="12" t="s">
        <v>587</v>
      </c>
      <c r="H20" s="14" t="s">
        <v>1025</v>
      </c>
      <c r="I20" s="11"/>
    </row>
    <row r="21" customFormat="false" ht="15.75" hidden="false" customHeight="false" outlineLevel="0" collapsed="false">
      <c r="A21" s="10" t="n">
        <v>18</v>
      </c>
      <c r="B21" s="12" t="s">
        <v>1293</v>
      </c>
      <c r="C21" s="12"/>
      <c r="D21" s="12" t="s">
        <v>1294</v>
      </c>
      <c r="E21" s="12" t="s">
        <v>1295</v>
      </c>
      <c r="F21" s="41" t="n">
        <v>39234</v>
      </c>
      <c r="G21" s="12" t="s">
        <v>587</v>
      </c>
      <c r="H21" s="14" t="s">
        <v>979</v>
      </c>
      <c r="I21" s="13"/>
    </row>
    <row r="22" customFormat="false" ht="15.75" hidden="false" customHeight="false" outlineLevel="0" collapsed="false">
      <c r="A22" s="10" t="n">
        <v>19</v>
      </c>
      <c r="B22" s="14" t="s">
        <v>1296</v>
      </c>
      <c r="C22" s="14" t="n">
        <v>26367</v>
      </c>
      <c r="D22" s="14" t="s">
        <v>1297</v>
      </c>
      <c r="E22" s="14" t="s">
        <v>1297</v>
      </c>
      <c r="F22" s="47" t="n">
        <v>30600</v>
      </c>
      <c r="G22" s="12" t="s">
        <v>587</v>
      </c>
      <c r="H22" s="11"/>
      <c r="I22" s="11"/>
    </row>
    <row r="23" customFormat="false" ht="15.75" hidden="false" customHeight="false" outlineLevel="0" collapsed="false">
      <c r="A23" s="10" t="n">
        <v>20</v>
      </c>
      <c r="B23" s="12" t="s">
        <v>1298</v>
      </c>
      <c r="C23" s="12" t="n">
        <v>26362</v>
      </c>
      <c r="D23" s="12" t="s">
        <v>1299</v>
      </c>
      <c r="E23" s="12" t="s">
        <v>1300</v>
      </c>
      <c r="F23" s="41" t="n">
        <v>39052</v>
      </c>
      <c r="G23" s="12" t="s">
        <v>587</v>
      </c>
      <c r="H23" s="13"/>
      <c r="I23" s="13"/>
    </row>
    <row r="24" customFormat="false" ht="15.75" hidden="false" customHeight="false" outlineLevel="0" collapsed="false">
      <c r="A24" s="10" t="n">
        <v>21</v>
      </c>
      <c r="B24" s="14" t="s">
        <v>1301</v>
      </c>
      <c r="C24" s="14" t="n">
        <v>26363</v>
      </c>
      <c r="D24" s="14" t="s">
        <v>1302</v>
      </c>
      <c r="E24" s="14" t="s">
        <v>1303</v>
      </c>
      <c r="F24" s="42" t="n">
        <v>39722</v>
      </c>
      <c r="G24" s="14" t="s">
        <v>617</v>
      </c>
      <c r="H24" s="11"/>
      <c r="I24" s="11"/>
    </row>
    <row r="25" customFormat="false" ht="15.75" hidden="false" customHeight="false" outlineLevel="0" collapsed="false">
      <c r="A25" s="10" t="n">
        <v>22</v>
      </c>
      <c r="B25" s="14" t="s">
        <v>1304</v>
      </c>
      <c r="C25" s="14"/>
      <c r="D25" s="14" t="s">
        <v>1305</v>
      </c>
      <c r="E25" s="14" t="s">
        <v>1306</v>
      </c>
      <c r="F25" s="42" t="n">
        <v>37899</v>
      </c>
      <c r="G25" s="14" t="s">
        <v>584</v>
      </c>
      <c r="H25" s="14" t="s">
        <v>1025</v>
      </c>
      <c r="I25" s="11"/>
    </row>
    <row r="26" customFormat="false" ht="15.75" hidden="false" customHeight="false" outlineLevel="0" collapsed="false">
      <c r="A26" s="10" t="n">
        <v>23</v>
      </c>
      <c r="B26" s="14" t="s">
        <v>1307</v>
      </c>
      <c r="C26" s="14" t="n">
        <v>26368</v>
      </c>
      <c r="D26" s="14" t="s">
        <v>1308</v>
      </c>
      <c r="E26" s="14" t="s">
        <v>1309</v>
      </c>
      <c r="F26" s="42" t="n">
        <v>39700</v>
      </c>
      <c r="G26" s="14" t="s">
        <v>584</v>
      </c>
      <c r="H26" s="14" t="s">
        <v>979</v>
      </c>
      <c r="I26" s="11"/>
    </row>
    <row r="27" customFormat="false" ht="15.75" hidden="false" customHeight="false" outlineLevel="0" collapsed="false">
      <c r="A27" s="10" t="n">
        <v>24</v>
      </c>
      <c r="B27" s="14" t="s">
        <v>1310</v>
      </c>
      <c r="C27" s="14" t="n">
        <v>26366</v>
      </c>
      <c r="D27" s="14" t="s">
        <v>1311</v>
      </c>
      <c r="E27" s="14" t="s">
        <v>1312</v>
      </c>
      <c r="F27" s="14" t="s">
        <v>1313</v>
      </c>
      <c r="G27" s="14" t="s">
        <v>697</v>
      </c>
      <c r="H27" s="14" t="s">
        <v>1314</v>
      </c>
      <c r="I27" s="11"/>
    </row>
    <row r="28" customFormat="false" ht="15.75" hidden="false" customHeight="false" outlineLevel="0" collapsed="false">
      <c r="A28" s="10" t="n">
        <v>25</v>
      </c>
      <c r="B28" s="14" t="s">
        <v>1315</v>
      </c>
      <c r="C28" s="14" t="n">
        <v>26369</v>
      </c>
      <c r="D28" s="14" t="s">
        <v>1316</v>
      </c>
      <c r="E28" s="14" t="s">
        <v>1309</v>
      </c>
      <c r="F28" s="42" t="n">
        <v>39700</v>
      </c>
      <c r="G28" s="14" t="s">
        <v>584</v>
      </c>
      <c r="H28" s="14" t="s">
        <v>979</v>
      </c>
      <c r="I28" s="11"/>
    </row>
    <row r="29" customFormat="false" ht="15.75" hidden="false" customHeight="false" outlineLevel="0" collapsed="false">
      <c r="A29" s="10" t="n">
        <v>26</v>
      </c>
      <c r="B29" s="14" t="s">
        <v>1317</v>
      </c>
      <c r="C29" s="14" t="n">
        <v>26380</v>
      </c>
      <c r="D29" s="14" t="s">
        <v>1318</v>
      </c>
      <c r="E29" s="14" t="s">
        <v>1319</v>
      </c>
      <c r="F29" s="14" t="s">
        <v>1320</v>
      </c>
      <c r="G29" s="14" t="s">
        <v>697</v>
      </c>
      <c r="H29" s="14" t="s">
        <v>979</v>
      </c>
      <c r="I29" s="11"/>
    </row>
    <row r="30" customFormat="false" ht="15.75" hidden="false" customHeight="false" outlineLevel="0" collapsed="false">
      <c r="A30" s="10" t="n">
        <v>27</v>
      </c>
      <c r="B30" s="14" t="s">
        <v>1321</v>
      </c>
      <c r="C30" s="14" t="n">
        <v>26371</v>
      </c>
      <c r="D30" s="14" t="s">
        <v>1322</v>
      </c>
      <c r="E30" s="14" t="s">
        <v>1323</v>
      </c>
      <c r="F30" s="47" t="n">
        <v>38021</v>
      </c>
      <c r="G30" s="14" t="s">
        <v>795</v>
      </c>
      <c r="H30" s="14" t="s">
        <v>1025</v>
      </c>
      <c r="I30" s="11"/>
    </row>
    <row r="31" customFormat="false" ht="15.75" hidden="false" customHeight="false" outlineLevel="0" collapsed="false">
      <c r="A31" s="10" t="n">
        <v>28</v>
      </c>
      <c r="B31" s="14" t="s">
        <v>1324</v>
      </c>
      <c r="C31" s="14" t="n">
        <v>26372</v>
      </c>
      <c r="D31" s="14" t="s">
        <v>1325</v>
      </c>
      <c r="E31" s="14" t="s">
        <v>1326</v>
      </c>
      <c r="F31" s="47"/>
      <c r="G31" s="14" t="s">
        <v>707</v>
      </c>
      <c r="H31" s="14" t="s">
        <v>979</v>
      </c>
      <c r="I31" s="11"/>
    </row>
    <row r="32" customFormat="false" ht="15.75" hidden="false" customHeight="false" outlineLevel="0" collapsed="false">
      <c r="A32" s="10"/>
      <c r="B32" s="14"/>
      <c r="C32" s="14"/>
      <c r="D32" s="14"/>
      <c r="E32" s="14"/>
      <c r="F32" s="47"/>
      <c r="G32" s="14"/>
      <c r="H32" s="14"/>
      <c r="I32" s="11"/>
    </row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</sheetData>
  <mergeCells count="3">
    <mergeCell ref="A1:I1"/>
    <mergeCell ref="A2:E2"/>
    <mergeCell ref="F2:I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32"/>
    <col collapsed="false" customWidth="true" hidden="false" outlineLevel="0" max="3" min="3" style="0" width="14.75"/>
    <col collapsed="false" customWidth="true" hidden="false" outlineLevel="0" max="4" min="4" style="0" width="10.13"/>
    <col collapsed="false" customWidth="true" hidden="false" outlineLevel="0" max="5" min="5" style="0" width="18.13"/>
    <col collapsed="false" customWidth="true" hidden="false" outlineLevel="0" max="6" min="6" style="0" width="19.88"/>
    <col collapsed="false" customWidth="true" hidden="false" outlineLevel="0" max="7" min="7" style="0" width="16.63"/>
    <col collapsed="false" customWidth="true" hidden="false" outlineLevel="0" max="9" min="9" style="0" width="20.13"/>
    <col collapsed="false" customWidth="true" hidden="false" outlineLevel="0" max="10" min="10" style="0" width="18.38"/>
  </cols>
  <sheetData>
    <row r="1" customFormat="false" ht="29.1" hidden="false" customHeight="false" outlineLevel="0" collapsed="false">
      <c r="A1" s="4" t="s">
        <v>1327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1.6" hidden="false" customHeight="false" outlineLevel="0" collapsed="false">
      <c r="A2" s="6" t="s">
        <v>1328</v>
      </c>
      <c r="B2" s="6"/>
      <c r="C2" s="6"/>
      <c r="D2" s="6"/>
      <c r="E2" s="6"/>
      <c r="F2" s="6"/>
      <c r="G2" s="6" t="s">
        <v>975</v>
      </c>
      <c r="H2" s="6"/>
      <c r="I2" s="6"/>
      <c r="J2" s="6"/>
    </row>
    <row r="3" customFormat="false" ht="17.35" hidden="false" customHeight="false" outlineLevel="0" collapsed="false">
      <c r="A3" s="7" t="s">
        <v>48</v>
      </c>
      <c r="B3" s="8" t="s">
        <v>4</v>
      </c>
      <c r="C3" s="8" t="s">
        <v>1040</v>
      </c>
      <c r="D3" s="9" t="s">
        <v>49</v>
      </c>
      <c r="E3" s="8" t="s">
        <v>5</v>
      </c>
      <c r="F3" s="8" t="s">
        <v>6</v>
      </c>
      <c r="G3" s="8" t="s">
        <v>50</v>
      </c>
      <c r="H3" s="7" t="s">
        <v>1329</v>
      </c>
      <c r="I3" s="139" t="s">
        <v>52</v>
      </c>
      <c r="J3" s="8" t="s">
        <v>53</v>
      </c>
    </row>
    <row r="4" customFormat="false" ht="15.75" hidden="false" customHeight="false" outlineLevel="0" collapsed="false">
      <c r="A4" s="10" t="n">
        <v>1</v>
      </c>
      <c r="B4" s="14" t="s">
        <v>1330</v>
      </c>
      <c r="C4" s="14" t="n">
        <v>5000</v>
      </c>
      <c r="D4" s="14" t="n">
        <v>26236</v>
      </c>
      <c r="E4" s="14" t="s">
        <v>899</v>
      </c>
      <c r="F4" s="14" t="s">
        <v>900</v>
      </c>
      <c r="G4" s="42" t="n">
        <v>34554</v>
      </c>
      <c r="H4" s="14" t="s">
        <v>584</v>
      </c>
      <c r="I4" s="14" t="s">
        <v>1069</v>
      </c>
      <c r="J4" s="11"/>
    </row>
    <row r="5" customFormat="false" ht="15.75" hidden="false" customHeight="false" outlineLevel="0" collapsed="false">
      <c r="A5" s="10" t="n">
        <v>2</v>
      </c>
      <c r="B5" s="20" t="s">
        <v>746</v>
      </c>
      <c r="C5" s="27" t="n">
        <v>2000</v>
      </c>
      <c r="D5" s="20" t="n">
        <v>25161</v>
      </c>
      <c r="E5" s="20" t="s">
        <v>141</v>
      </c>
      <c r="F5" s="20" t="s">
        <v>747</v>
      </c>
      <c r="G5" s="60" t="s">
        <v>748</v>
      </c>
      <c r="H5" s="20" t="s">
        <v>617</v>
      </c>
      <c r="I5" s="13"/>
      <c r="J5" s="13"/>
    </row>
    <row r="6" customFormat="false" ht="15.75" hidden="false" customHeight="false" outlineLevel="0" collapsed="false">
      <c r="A6" s="10" t="n">
        <v>3</v>
      </c>
      <c r="B6" s="12" t="s">
        <v>1331</v>
      </c>
      <c r="C6" s="14" t="n">
        <v>5000</v>
      </c>
      <c r="D6" s="12" t="n">
        <v>26235</v>
      </c>
      <c r="E6" s="27" t="s">
        <v>895</v>
      </c>
      <c r="F6" s="27" t="s">
        <v>1332</v>
      </c>
      <c r="G6" s="46" t="n">
        <v>39183</v>
      </c>
      <c r="H6" s="12" t="s">
        <v>836</v>
      </c>
      <c r="I6" s="12" t="s">
        <v>1025</v>
      </c>
      <c r="J6" s="13"/>
    </row>
    <row r="7" customFormat="false" ht="15.75" hidden="false" customHeight="false" outlineLevel="0" collapsed="false">
      <c r="A7" s="10" t="n">
        <v>4</v>
      </c>
      <c r="B7" s="14" t="s">
        <v>889</v>
      </c>
      <c r="C7" s="14" t="n">
        <v>5000</v>
      </c>
      <c r="D7" s="14" t="n">
        <v>26244</v>
      </c>
      <c r="E7" s="14" t="s">
        <v>890</v>
      </c>
      <c r="F7" s="14" t="s">
        <v>1333</v>
      </c>
      <c r="G7" s="14" t="s">
        <v>1334</v>
      </c>
      <c r="H7" s="14" t="s">
        <v>617</v>
      </c>
      <c r="I7" s="14" t="s">
        <v>979</v>
      </c>
      <c r="J7" s="11"/>
    </row>
    <row r="8" customFormat="false" ht="15.75" hidden="false" customHeight="false" outlineLevel="0" collapsed="false">
      <c r="A8" s="10" t="n">
        <v>5</v>
      </c>
      <c r="B8" s="12" t="s">
        <v>1335</v>
      </c>
      <c r="C8" s="12" t="s">
        <v>1336</v>
      </c>
      <c r="D8" s="12" t="n">
        <v>26336</v>
      </c>
      <c r="E8" s="12" t="s">
        <v>1337</v>
      </c>
      <c r="F8" s="12" t="s">
        <v>1338</v>
      </c>
      <c r="G8" s="12" t="s">
        <v>1339</v>
      </c>
      <c r="H8" s="12" t="s">
        <v>697</v>
      </c>
      <c r="I8" s="12" t="s">
        <v>1025</v>
      </c>
      <c r="J8" s="13"/>
    </row>
    <row r="9" customFormat="false" ht="15.75" hidden="false" customHeight="false" outlineLevel="0" collapsed="false">
      <c r="A9" s="10" t="n">
        <v>6</v>
      </c>
      <c r="B9" s="14" t="s">
        <v>1340</v>
      </c>
      <c r="C9" s="12" t="n">
        <v>600</v>
      </c>
      <c r="D9" s="14" t="n">
        <v>25228</v>
      </c>
      <c r="E9" s="14" t="s">
        <v>206</v>
      </c>
      <c r="F9" s="77" t="s">
        <v>882</v>
      </c>
      <c r="G9" s="140" t="n">
        <v>39114</v>
      </c>
      <c r="H9" s="14" t="s">
        <v>584</v>
      </c>
      <c r="I9" s="12" t="s">
        <v>1025</v>
      </c>
      <c r="J9" s="11"/>
    </row>
    <row r="10" customFormat="false" ht="15.75" hidden="false" customHeight="false" outlineLevel="0" collapsed="false">
      <c r="A10" s="10" t="n">
        <v>8</v>
      </c>
      <c r="B10" s="14" t="s">
        <v>636</v>
      </c>
      <c r="C10" s="14" t="n">
        <v>9000</v>
      </c>
      <c r="D10" s="14" t="n">
        <v>25229</v>
      </c>
      <c r="E10" s="14" t="s">
        <v>884</v>
      </c>
      <c r="F10" s="14" t="s">
        <v>885</v>
      </c>
      <c r="G10" s="42" t="n">
        <v>37626</v>
      </c>
      <c r="H10" s="11" t="s">
        <v>587</v>
      </c>
      <c r="I10" s="11"/>
      <c r="J10" s="11"/>
    </row>
    <row r="11" customFormat="false" ht="15.75" hidden="false" customHeight="false" outlineLevel="0" collapsed="false">
      <c r="A11" s="10" t="n">
        <v>9</v>
      </c>
      <c r="B11" s="12" t="s">
        <v>1341</v>
      </c>
      <c r="C11" s="14" t="n">
        <v>3000</v>
      </c>
      <c r="D11" s="12" t="n">
        <v>26246</v>
      </c>
      <c r="E11" s="12" t="s">
        <v>284</v>
      </c>
      <c r="F11" s="12" t="s">
        <v>956</v>
      </c>
      <c r="G11" s="46" t="n">
        <v>38118</v>
      </c>
      <c r="H11" s="13"/>
      <c r="I11" s="13"/>
      <c r="J11" s="13"/>
    </row>
    <row r="12" customFormat="false" ht="15.75" hidden="false" customHeight="false" outlineLevel="0" collapsed="false">
      <c r="A12" s="10" t="n">
        <v>10</v>
      </c>
      <c r="B12" s="14" t="s">
        <v>1342</v>
      </c>
      <c r="C12" s="14" t="n">
        <v>3000</v>
      </c>
      <c r="D12" s="14" t="n">
        <v>26242</v>
      </c>
      <c r="E12" s="14" t="s">
        <v>1343</v>
      </c>
      <c r="F12" s="14" t="s">
        <v>1344</v>
      </c>
      <c r="G12" s="42" t="n">
        <v>38080</v>
      </c>
      <c r="H12" s="11"/>
      <c r="I12" s="12" t="s">
        <v>1025</v>
      </c>
      <c r="J12" s="11"/>
    </row>
    <row r="13" customFormat="false" ht="15.75" hidden="false" customHeight="false" outlineLevel="0" collapsed="false">
      <c r="A13" s="10" t="n">
        <v>11</v>
      </c>
      <c r="B13" s="14" t="s">
        <v>1345</v>
      </c>
      <c r="C13" s="14" t="s">
        <v>1346</v>
      </c>
      <c r="D13" s="14" t="n">
        <v>26241</v>
      </c>
      <c r="E13" s="14" t="s">
        <v>944</v>
      </c>
      <c r="F13" s="14"/>
      <c r="G13" s="42" t="n">
        <v>27582</v>
      </c>
      <c r="H13" s="14" t="s">
        <v>617</v>
      </c>
      <c r="I13" s="11"/>
      <c r="J13" s="11"/>
    </row>
    <row r="14" customFormat="false" ht="15.75" hidden="false" customHeight="false" outlineLevel="0" collapsed="false">
      <c r="A14" s="10" t="n">
        <v>12</v>
      </c>
      <c r="B14" s="12" t="s">
        <v>1347</v>
      </c>
      <c r="C14" s="12" t="s">
        <v>1346</v>
      </c>
      <c r="D14" s="12" t="n">
        <v>26248</v>
      </c>
      <c r="E14" s="12" t="s">
        <v>275</v>
      </c>
      <c r="F14" s="12" t="s">
        <v>1348</v>
      </c>
      <c r="G14" s="46" t="n">
        <v>38698</v>
      </c>
      <c r="H14" s="14" t="s">
        <v>617</v>
      </c>
      <c r="I14" s="12" t="s">
        <v>1025</v>
      </c>
      <c r="J14" s="13"/>
    </row>
    <row r="15" customFormat="false" ht="15.75" hidden="false" customHeight="false" outlineLevel="0" collapsed="false">
      <c r="A15" s="10" t="n">
        <v>13</v>
      </c>
      <c r="B15" s="14" t="s">
        <v>1349</v>
      </c>
      <c r="C15" s="14" t="s">
        <v>1346</v>
      </c>
      <c r="D15" s="14" t="n">
        <v>25227</v>
      </c>
      <c r="E15" s="14" t="s">
        <v>1350</v>
      </c>
      <c r="F15" s="14" t="s">
        <v>1351</v>
      </c>
      <c r="G15" s="14" t="s">
        <v>1352</v>
      </c>
      <c r="H15" s="14" t="s">
        <v>617</v>
      </c>
      <c r="I15" s="12" t="s">
        <v>1025</v>
      </c>
      <c r="J15" s="11"/>
    </row>
    <row r="16" customFormat="false" ht="15.75" hidden="false" customHeight="false" outlineLevel="0" collapsed="false">
      <c r="A16" s="10" t="n">
        <v>14</v>
      </c>
      <c r="B16" s="13" t="s">
        <v>967</v>
      </c>
      <c r="C16" s="14" t="s">
        <v>1346</v>
      </c>
      <c r="D16" s="12" t="n">
        <v>26302</v>
      </c>
      <c r="E16" s="12" t="s">
        <v>968</v>
      </c>
      <c r="F16" s="12" t="s">
        <v>969</v>
      </c>
      <c r="G16" s="46" t="n">
        <v>36652</v>
      </c>
      <c r="H16" s="14" t="s">
        <v>617</v>
      </c>
      <c r="I16" s="13" t="s">
        <v>1006</v>
      </c>
      <c r="J16" s="13"/>
    </row>
    <row r="17" customFormat="false" ht="15.75" hidden="false" customHeight="false" outlineLevel="0" collapsed="false">
      <c r="A17" s="10" t="n">
        <v>15</v>
      </c>
      <c r="B17" s="14" t="s">
        <v>817</v>
      </c>
      <c r="C17" s="14" t="n">
        <v>5600</v>
      </c>
      <c r="D17" s="14" t="n">
        <v>25186</v>
      </c>
      <c r="E17" s="14" t="s">
        <v>818</v>
      </c>
      <c r="F17" s="11"/>
      <c r="G17" s="11"/>
      <c r="H17" s="11"/>
      <c r="I17" s="11"/>
      <c r="J17" s="11"/>
    </row>
    <row r="18" customFormat="false" ht="15.75" hidden="false" customHeight="false" outlineLevel="0" collapsed="false">
      <c r="A18" s="10" t="n">
        <v>16</v>
      </c>
      <c r="B18" s="12" t="s">
        <v>1353</v>
      </c>
      <c r="C18" s="141" t="n">
        <v>10000</v>
      </c>
      <c r="D18" s="12" t="n">
        <v>26370</v>
      </c>
      <c r="E18" s="12" t="s">
        <v>1354</v>
      </c>
      <c r="F18" s="12" t="s">
        <v>1355</v>
      </c>
      <c r="G18" s="12" t="s">
        <v>1356</v>
      </c>
      <c r="H18" s="12" t="s">
        <v>617</v>
      </c>
      <c r="I18" s="12" t="s">
        <v>979</v>
      </c>
      <c r="J18" s="13"/>
    </row>
    <row r="19" customFormat="false" ht="15.75" hidden="false" customHeight="false" outlineLevel="0" collapsed="false">
      <c r="A19" s="10" t="n">
        <v>17</v>
      </c>
      <c r="B19" s="14" t="s">
        <v>1357</v>
      </c>
      <c r="C19" s="141" t="n">
        <v>10000</v>
      </c>
      <c r="D19" s="14" t="n">
        <v>26378</v>
      </c>
      <c r="E19" s="14"/>
      <c r="F19" s="11"/>
      <c r="G19" s="11"/>
      <c r="H19" s="11"/>
      <c r="I19" s="11"/>
      <c r="J19" s="11"/>
    </row>
    <row r="20" customFormat="false" ht="15.75" hidden="false" customHeight="false" outlineLevel="0" collapsed="false">
      <c r="A20" s="10" t="n">
        <v>18</v>
      </c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.75" hidden="false" customHeight="fals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.75" hidden="false" customHeight="false" outlineLevel="0" collapsed="false"/>
    <row r="23" customFormat="false" ht="15.75" hidden="false" customHeight="false" outlineLevel="0" collapsed="false"/>
  </sheetData>
  <mergeCells count="3">
    <mergeCell ref="A1:J1"/>
    <mergeCell ref="A2:F2"/>
    <mergeCell ref="G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33.63"/>
    <col collapsed="false" customWidth="true" hidden="false" outlineLevel="0" max="3" min="3" style="0" width="14"/>
    <col collapsed="false" customWidth="true" hidden="false" outlineLevel="0" max="4" min="4" style="0" width="23.25"/>
    <col collapsed="false" customWidth="true" hidden="false" outlineLevel="0" max="5" min="5" style="0" width="22.25"/>
    <col collapsed="false" customWidth="true" hidden="false" outlineLevel="0" max="6" min="6" style="0" width="21.12"/>
    <col collapsed="false" customWidth="true" hidden="false" outlineLevel="0" max="7" min="7" style="0" width="18.63"/>
    <col collapsed="false" customWidth="true" hidden="false" outlineLevel="0" max="8" min="8" style="0" width="19.38"/>
    <col collapsed="false" customWidth="true" hidden="false" outlineLevel="0" max="9" min="9" style="0" width="25.88"/>
  </cols>
  <sheetData>
    <row r="1" customFormat="false" ht="29.1" hidden="false" customHeight="false" outlineLevel="0" collapsed="false">
      <c r="A1" s="4" t="s">
        <v>1358</v>
      </c>
      <c r="B1" s="4"/>
      <c r="C1" s="4"/>
      <c r="D1" s="4"/>
      <c r="E1" s="4"/>
      <c r="F1" s="4"/>
      <c r="G1" s="4"/>
      <c r="H1" s="4"/>
      <c r="I1" s="4"/>
    </row>
    <row r="2" customFormat="false" ht="21.6" hidden="false" customHeight="false" outlineLevel="0" collapsed="false">
      <c r="A2" s="6" t="s">
        <v>1359</v>
      </c>
      <c r="B2" s="6"/>
      <c r="C2" s="6"/>
      <c r="D2" s="6"/>
      <c r="E2" s="6"/>
      <c r="F2" s="6" t="s">
        <v>975</v>
      </c>
      <c r="G2" s="6"/>
      <c r="H2" s="6"/>
      <c r="I2" s="6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577</v>
      </c>
      <c r="H3" s="142" t="s">
        <v>52</v>
      </c>
      <c r="I3" s="8" t="s">
        <v>53</v>
      </c>
    </row>
    <row r="4" customFormat="false" ht="15.75" hidden="false" customHeight="false" outlineLevel="0" collapsed="false">
      <c r="A4" s="10" t="n">
        <v>1</v>
      </c>
      <c r="B4" s="14" t="s">
        <v>1360</v>
      </c>
      <c r="C4" s="14"/>
      <c r="D4" s="14" t="s">
        <v>1361</v>
      </c>
      <c r="E4" s="14"/>
      <c r="F4" s="47" t="n">
        <v>35921</v>
      </c>
      <c r="G4" s="14"/>
      <c r="H4" s="14"/>
      <c r="I4" s="11"/>
    </row>
    <row r="5" customFormat="false" ht="15.75" hidden="false" customHeight="false" outlineLevel="0" collapsed="false">
      <c r="A5" s="10" t="n">
        <v>2</v>
      </c>
      <c r="B5" s="12" t="s">
        <v>1362</v>
      </c>
      <c r="C5" s="12"/>
      <c r="D5" s="12" t="s">
        <v>1363</v>
      </c>
      <c r="E5" s="12" t="s">
        <v>1364</v>
      </c>
      <c r="F5" s="12" t="s">
        <v>1365</v>
      </c>
      <c r="G5" s="12" t="s">
        <v>584</v>
      </c>
      <c r="H5" s="12" t="s">
        <v>1006</v>
      </c>
      <c r="I5" s="13"/>
    </row>
    <row r="6" customFormat="false" ht="15.75" hidden="false" customHeight="false" outlineLevel="0" collapsed="false">
      <c r="A6" s="10" t="n">
        <v>3</v>
      </c>
      <c r="B6" s="12" t="s">
        <v>1366</v>
      </c>
      <c r="C6" s="38" t="n">
        <v>26321</v>
      </c>
      <c r="D6" s="38" t="s">
        <v>1367</v>
      </c>
      <c r="E6" s="12" t="s">
        <v>1368</v>
      </c>
      <c r="F6" s="12" t="s">
        <v>1369</v>
      </c>
      <c r="G6" s="12" t="s">
        <v>697</v>
      </c>
      <c r="H6" s="12" t="s">
        <v>979</v>
      </c>
      <c r="I6" s="11"/>
    </row>
    <row r="7" customFormat="false" ht="15.75" hidden="false" customHeight="false" outlineLevel="0" collapsed="false">
      <c r="A7" s="10" t="n">
        <v>4</v>
      </c>
      <c r="B7" s="12" t="s">
        <v>1370</v>
      </c>
      <c r="C7" s="12" t="n">
        <v>26345</v>
      </c>
      <c r="D7" s="12" t="s">
        <v>1371</v>
      </c>
      <c r="E7" s="12" t="s">
        <v>1372</v>
      </c>
      <c r="F7" s="41" t="n">
        <v>37840</v>
      </c>
      <c r="G7" s="12" t="s">
        <v>617</v>
      </c>
      <c r="H7" s="13"/>
      <c r="I7" s="13"/>
    </row>
    <row r="8" customFormat="false" ht="15.75" hidden="false" customHeight="false" outlineLevel="0" collapsed="false">
      <c r="A8" s="10" t="n">
        <v>5</v>
      </c>
      <c r="B8" s="14" t="s">
        <v>1373</v>
      </c>
      <c r="C8" s="14" t="n">
        <v>26348</v>
      </c>
      <c r="D8" s="14" t="s">
        <v>1374</v>
      </c>
      <c r="E8" s="14" t="s">
        <v>1374</v>
      </c>
      <c r="F8" s="14" t="s">
        <v>657</v>
      </c>
      <c r="G8" s="14" t="s">
        <v>617</v>
      </c>
      <c r="H8" s="14" t="s">
        <v>1375</v>
      </c>
      <c r="I8" s="11"/>
    </row>
    <row r="9" customFormat="false" ht="15.75" hidden="false" customHeight="false" outlineLevel="0" collapsed="false">
      <c r="A9" s="10" t="n">
        <v>6</v>
      </c>
      <c r="B9" s="12" t="s">
        <v>1376</v>
      </c>
      <c r="C9" s="12"/>
      <c r="D9" s="12" t="s">
        <v>1377</v>
      </c>
      <c r="E9" s="12" t="s">
        <v>1378</v>
      </c>
      <c r="F9" s="12" t="s">
        <v>1379</v>
      </c>
      <c r="G9" s="12" t="s">
        <v>584</v>
      </c>
      <c r="H9" s="13"/>
      <c r="I9" s="13"/>
    </row>
    <row r="10" customFormat="false" ht="15.75" hidden="false" customHeight="false" outlineLevel="0" collapsed="false">
      <c r="A10" s="10" t="n">
        <v>7</v>
      </c>
      <c r="B10" s="14" t="s">
        <v>1380</v>
      </c>
      <c r="C10" s="14" t="n">
        <v>26354</v>
      </c>
      <c r="D10" s="14" t="s">
        <v>1381</v>
      </c>
      <c r="E10" s="11"/>
      <c r="F10" s="11"/>
      <c r="G10" s="11"/>
      <c r="H10" s="11"/>
      <c r="I10" s="11"/>
    </row>
    <row r="11" customFormat="false" ht="15.75" hidden="false" customHeight="false" outlineLevel="0" collapsed="false">
      <c r="A11" s="10" t="n">
        <v>8</v>
      </c>
      <c r="B11" s="13"/>
      <c r="C11" s="13"/>
      <c r="D11" s="13"/>
      <c r="E11" s="13"/>
      <c r="F11" s="13"/>
      <c r="G11" s="13"/>
      <c r="H11" s="13"/>
      <c r="I11" s="13"/>
    </row>
    <row r="12" customFormat="false" ht="15.75" hidden="false" customHeight="false" outlineLevel="0" collapsed="false">
      <c r="A12" s="10" t="n">
        <v>9</v>
      </c>
      <c r="B12" s="11"/>
      <c r="C12" s="11"/>
      <c r="D12" s="11"/>
      <c r="E12" s="11"/>
      <c r="F12" s="11"/>
      <c r="G12" s="11"/>
      <c r="H12" s="11"/>
      <c r="I12" s="11"/>
    </row>
    <row r="13" customFormat="false" ht="15.75" hidden="false" customHeight="false" outlineLevel="0" collapsed="false">
      <c r="A13" s="10" t="n">
        <v>10</v>
      </c>
      <c r="B13" s="13"/>
      <c r="C13" s="13"/>
      <c r="D13" s="13"/>
      <c r="E13" s="13"/>
      <c r="F13" s="13"/>
      <c r="G13" s="13"/>
      <c r="H13" s="13"/>
      <c r="I13" s="13"/>
    </row>
    <row r="14" customFormat="false" ht="15.75" hidden="false" customHeight="false" outlineLevel="0" collapsed="false">
      <c r="A14" s="10" t="n">
        <v>11</v>
      </c>
      <c r="B14" s="11"/>
      <c r="C14" s="11"/>
      <c r="D14" s="11"/>
      <c r="E14" s="11"/>
      <c r="F14" s="11"/>
      <c r="G14" s="11"/>
      <c r="H14" s="11"/>
      <c r="I14" s="11"/>
    </row>
    <row r="15" customFormat="false" ht="15.75" hidden="false" customHeight="false" outlineLevel="0" collapsed="false">
      <c r="A15" s="10" t="n">
        <v>12</v>
      </c>
      <c r="B15" s="13"/>
      <c r="C15" s="13"/>
      <c r="D15" s="13"/>
      <c r="E15" s="13"/>
      <c r="F15" s="13"/>
      <c r="G15" s="13"/>
      <c r="H15" s="13"/>
      <c r="I15" s="13"/>
    </row>
    <row r="16" customFormat="false" ht="15.75" hidden="false" customHeight="false" outlineLevel="0" collapsed="false">
      <c r="A16" s="10" t="n">
        <v>13</v>
      </c>
      <c r="B16" s="11"/>
      <c r="C16" s="11"/>
      <c r="D16" s="11"/>
      <c r="E16" s="11"/>
      <c r="F16" s="11"/>
      <c r="G16" s="11"/>
      <c r="H16" s="11"/>
      <c r="I16" s="11"/>
    </row>
    <row r="17" customFormat="false" ht="15.75" hidden="false" customHeight="false" outlineLevel="0" collapsed="false">
      <c r="A17" s="10" t="n">
        <v>14</v>
      </c>
      <c r="B17" s="13"/>
      <c r="C17" s="13"/>
      <c r="D17" s="13"/>
      <c r="E17" s="13"/>
      <c r="F17" s="13"/>
      <c r="G17" s="13"/>
      <c r="H17" s="13"/>
      <c r="I17" s="13"/>
    </row>
    <row r="18" customFormat="false" ht="15.75" hidden="false" customHeight="false" outlineLevel="0" collapsed="false">
      <c r="A18" s="10" t="n">
        <v>15</v>
      </c>
      <c r="B18" s="11"/>
      <c r="C18" s="11"/>
      <c r="D18" s="11"/>
      <c r="E18" s="11"/>
      <c r="F18" s="11"/>
      <c r="G18" s="11"/>
      <c r="H18" s="11"/>
      <c r="I18" s="11"/>
    </row>
    <row r="19" customFormat="false" ht="15.75" hidden="false" customHeight="false" outlineLevel="0" collapsed="false">
      <c r="A19" s="10" t="n">
        <v>16</v>
      </c>
      <c r="B19" s="13"/>
      <c r="C19" s="13"/>
      <c r="D19" s="13"/>
      <c r="E19" s="13"/>
      <c r="F19" s="13"/>
      <c r="G19" s="13"/>
      <c r="H19" s="13"/>
      <c r="I19" s="13"/>
    </row>
    <row r="20" customFormat="false" ht="15.75" hidden="false" customHeight="fals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  <c r="I20" s="11"/>
    </row>
    <row r="21" customFormat="false" ht="15.75" hidden="false" customHeight="false" outlineLevel="0" collapsed="false">
      <c r="A21" s="10" t="s">
        <v>54</v>
      </c>
      <c r="B21" s="13"/>
      <c r="C21" s="13"/>
      <c r="D21" s="13"/>
      <c r="E21" s="13"/>
      <c r="F21" s="13"/>
      <c r="G21" s="13"/>
      <c r="H21" s="13"/>
      <c r="I21" s="13"/>
    </row>
    <row r="22" customFormat="false" ht="15.75" hidden="false" customHeight="false" outlineLevel="0" collapsed="false">
      <c r="A22" s="10" t="n">
        <v>19</v>
      </c>
      <c r="B22" s="11"/>
      <c r="C22" s="11"/>
      <c r="D22" s="11"/>
      <c r="E22" s="11"/>
      <c r="F22" s="11"/>
      <c r="G22" s="11"/>
      <c r="H22" s="11"/>
      <c r="I22" s="11"/>
    </row>
    <row r="23" customFormat="false" ht="15.75" hidden="false" customHeight="false" outlineLevel="0" collapsed="false">
      <c r="A23" s="10" t="n">
        <v>20</v>
      </c>
      <c r="B23" s="13"/>
      <c r="C23" s="13"/>
      <c r="D23" s="13"/>
      <c r="E23" s="13"/>
      <c r="F23" s="13"/>
      <c r="G23" s="13"/>
      <c r="H23" s="13"/>
      <c r="I23" s="13"/>
    </row>
    <row r="24" customFormat="false" ht="15.75" hidden="false" customHeight="false" outlineLevel="0" collapsed="false">
      <c r="A24" s="10" t="n">
        <v>21</v>
      </c>
      <c r="B24" s="11"/>
      <c r="C24" s="11"/>
      <c r="D24" s="11"/>
      <c r="E24" s="11"/>
      <c r="F24" s="11"/>
      <c r="G24" s="11"/>
      <c r="H24" s="11"/>
      <c r="I24" s="11"/>
    </row>
    <row r="25" customFormat="false" ht="15.75" hidden="false" customHeight="false" outlineLevel="0" collapsed="false">
      <c r="A25" s="10" t="n">
        <v>22</v>
      </c>
      <c r="B25" s="13"/>
      <c r="C25" s="13"/>
      <c r="D25" s="13"/>
      <c r="E25" s="13"/>
      <c r="F25" s="13"/>
      <c r="G25" s="13"/>
      <c r="H25" s="13"/>
      <c r="I25" s="13"/>
    </row>
    <row r="26" customFormat="false" ht="15.75" hidden="false" customHeight="false" outlineLevel="0" collapsed="false">
      <c r="A26" s="10" t="n">
        <v>23</v>
      </c>
      <c r="B26" s="11"/>
      <c r="C26" s="11"/>
      <c r="D26" s="11"/>
      <c r="E26" s="11"/>
      <c r="F26" s="11"/>
      <c r="G26" s="11"/>
      <c r="H26" s="11"/>
      <c r="I26" s="11"/>
    </row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5.25"/>
    <col collapsed="false" customWidth="true" hidden="false" outlineLevel="0" max="3" min="3" style="0" width="17.63"/>
    <col collapsed="false" customWidth="true" hidden="false" outlineLevel="0" max="4" min="4" style="0" width="22.38"/>
    <col collapsed="false" customWidth="true" hidden="false" outlineLevel="0" max="5" min="5" style="0" width="24.51"/>
    <col collapsed="false" customWidth="true" hidden="false" outlineLevel="0" max="6" min="6" style="0" width="18.5"/>
    <col collapsed="false" customWidth="true" hidden="false" outlineLevel="0" max="7" min="7" style="0" width="19"/>
    <col collapsed="false" customWidth="true" hidden="false" outlineLevel="0" max="8" min="8" style="0" width="24.88"/>
    <col collapsed="false" customWidth="true" hidden="false" outlineLevel="0" max="9" min="9" style="0" width="22.75"/>
  </cols>
  <sheetData>
    <row r="1" customFormat="false" ht="29.1" hidden="false" customHeight="false" outlineLevel="0" collapsed="false">
      <c r="A1" s="4" t="s">
        <v>1382</v>
      </c>
      <c r="B1" s="4"/>
      <c r="C1" s="4"/>
      <c r="D1" s="4"/>
      <c r="E1" s="4"/>
      <c r="F1" s="4"/>
      <c r="G1" s="4"/>
      <c r="H1" s="4"/>
      <c r="I1" s="4"/>
    </row>
    <row r="2" customFormat="false" ht="17.35" hidden="false" customHeight="false" outlineLevel="0" collapsed="false">
      <c r="A2" s="6" t="s">
        <v>305</v>
      </c>
      <c r="B2" s="6"/>
      <c r="C2" s="6"/>
      <c r="D2" s="6"/>
      <c r="E2" s="6"/>
      <c r="F2" s="6" t="s">
        <v>47</v>
      </c>
      <c r="G2" s="6"/>
      <c r="H2" s="6"/>
      <c r="I2" s="6"/>
    </row>
    <row r="3" customFormat="false" ht="17.35" hidden="false" customHeight="false" outlineLevel="0" collapsed="false">
      <c r="A3" s="7" t="s">
        <v>48</v>
      </c>
      <c r="B3" s="8" t="s">
        <v>4</v>
      </c>
      <c r="C3" s="9" t="s">
        <v>49</v>
      </c>
      <c r="D3" s="8" t="s">
        <v>5</v>
      </c>
      <c r="E3" s="8" t="s">
        <v>6</v>
      </c>
      <c r="F3" s="8" t="s">
        <v>50</v>
      </c>
      <c r="G3" s="8" t="s">
        <v>577</v>
      </c>
      <c r="H3" s="139" t="s">
        <v>52</v>
      </c>
      <c r="I3" s="8" t="s">
        <v>53</v>
      </c>
    </row>
    <row r="4" customFormat="false" ht="15.75" hidden="false" customHeight="false" outlineLevel="0" collapsed="false">
      <c r="A4" s="10" t="n">
        <v>2</v>
      </c>
      <c r="B4" s="14" t="s">
        <v>1383</v>
      </c>
      <c r="C4" s="14" t="n">
        <v>26334</v>
      </c>
      <c r="D4" s="14" t="s">
        <v>1384</v>
      </c>
      <c r="E4" s="14" t="s">
        <v>1385</v>
      </c>
      <c r="F4" s="47" t="n">
        <v>36531</v>
      </c>
      <c r="G4" s="12" t="s">
        <v>587</v>
      </c>
      <c r="H4" s="13"/>
      <c r="I4" s="13"/>
    </row>
    <row r="5" customFormat="false" ht="15.75" hidden="false" customHeight="false" outlineLevel="0" collapsed="false">
      <c r="A5" s="10" t="n">
        <v>3</v>
      </c>
      <c r="B5" s="14" t="s">
        <v>1386</v>
      </c>
      <c r="C5" s="14" t="n">
        <v>26373</v>
      </c>
      <c r="D5" s="14" t="s">
        <v>1387</v>
      </c>
      <c r="E5" s="14" t="s">
        <v>1388</v>
      </c>
      <c r="F5" s="14" t="s">
        <v>1389</v>
      </c>
      <c r="G5" s="14" t="s">
        <v>584</v>
      </c>
      <c r="H5" s="14" t="s">
        <v>1025</v>
      </c>
      <c r="I5" s="11"/>
    </row>
    <row r="6" customFormat="false" ht="15.75" hidden="false" customHeight="false" outlineLevel="0" collapsed="false">
      <c r="A6" s="10" t="n">
        <v>4</v>
      </c>
      <c r="B6" s="12" t="s">
        <v>1390</v>
      </c>
      <c r="C6" s="12" t="n">
        <v>26377</v>
      </c>
      <c r="D6" s="12" t="s">
        <v>1391</v>
      </c>
      <c r="E6" s="12" t="s">
        <v>1392</v>
      </c>
      <c r="F6" s="12" t="s">
        <v>1393</v>
      </c>
      <c r="G6" s="13" t="s">
        <v>587</v>
      </c>
      <c r="H6" s="13"/>
      <c r="I6" s="13"/>
    </row>
    <row r="7" customFormat="false" ht="15.75" hidden="false" customHeight="false" outlineLevel="0" collapsed="false">
      <c r="A7" s="10" t="n">
        <v>5</v>
      </c>
      <c r="B7" s="14" t="s">
        <v>1394</v>
      </c>
      <c r="C7" s="14" t="n">
        <v>26379</v>
      </c>
      <c r="D7" s="14" t="s">
        <v>1395</v>
      </c>
      <c r="E7" s="14" t="s">
        <v>1396</v>
      </c>
      <c r="F7" s="14" t="s">
        <v>1397</v>
      </c>
      <c r="G7" s="14" t="s">
        <v>584</v>
      </c>
      <c r="H7" s="14" t="s">
        <v>979</v>
      </c>
      <c r="I7" s="11"/>
    </row>
    <row r="8" customFormat="false" ht="15.75" hidden="false" customHeight="false" outlineLevel="0" collapsed="false">
      <c r="A8" s="10" t="n">
        <v>6</v>
      </c>
      <c r="B8" s="13"/>
      <c r="C8" s="13"/>
      <c r="D8" s="13"/>
      <c r="E8" s="13"/>
      <c r="F8" s="13"/>
      <c r="G8" s="13"/>
      <c r="H8" s="13"/>
      <c r="I8" s="13"/>
    </row>
    <row r="9" customFormat="false" ht="15.75" hidden="false" customHeight="false" outlineLevel="0" collapsed="false">
      <c r="A9" s="10" t="n">
        <v>7</v>
      </c>
      <c r="B9" s="11"/>
      <c r="C9" s="11"/>
      <c r="D9" s="11"/>
      <c r="E9" s="11"/>
      <c r="F9" s="11"/>
      <c r="G9" s="11"/>
      <c r="H9" s="11"/>
      <c r="I9" s="11"/>
    </row>
    <row r="10" customFormat="false" ht="15.75" hidden="false" customHeight="false" outlineLevel="0" collapsed="false">
      <c r="A10" s="10" t="n">
        <v>8</v>
      </c>
      <c r="B10" s="13"/>
      <c r="C10" s="13"/>
      <c r="D10" s="13"/>
      <c r="E10" s="13"/>
      <c r="F10" s="13"/>
      <c r="G10" s="13"/>
      <c r="H10" s="13"/>
      <c r="I10" s="13"/>
    </row>
    <row r="11" customFormat="false" ht="15.75" hidden="false" customHeight="false" outlineLevel="0" collapsed="false">
      <c r="A11" s="10" t="n">
        <v>9</v>
      </c>
      <c r="B11" s="11"/>
      <c r="C11" s="11"/>
      <c r="D11" s="11"/>
      <c r="E11" s="11"/>
      <c r="F11" s="11"/>
      <c r="G11" s="11"/>
      <c r="H11" s="11"/>
      <c r="I11" s="11"/>
    </row>
    <row r="12" customFormat="false" ht="15.75" hidden="false" customHeight="false" outlineLevel="0" collapsed="false">
      <c r="A12" s="10" t="n">
        <v>10</v>
      </c>
      <c r="B12" s="13"/>
      <c r="C12" s="13"/>
      <c r="D12" s="13"/>
      <c r="E12" s="13"/>
      <c r="F12" s="13"/>
      <c r="G12" s="13"/>
      <c r="H12" s="13"/>
      <c r="I12" s="13"/>
    </row>
    <row r="13" customFormat="false" ht="15.75" hidden="false" customHeight="false" outlineLevel="0" collapsed="false">
      <c r="A13" s="10" t="n">
        <v>11</v>
      </c>
      <c r="B13" s="11"/>
      <c r="C13" s="11"/>
      <c r="D13" s="11"/>
      <c r="E13" s="11"/>
      <c r="F13" s="11"/>
      <c r="G13" s="11"/>
      <c r="H13" s="11"/>
      <c r="I13" s="11"/>
    </row>
    <row r="14" customFormat="false" ht="15.75" hidden="false" customHeight="false" outlineLevel="0" collapsed="false">
      <c r="A14" s="10" t="n">
        <v>12</v>
      </c>
      <c r="B14" s="13"/>
      <c r="C14" s="13"/>
      <c r="D14" s="13"/>
      <c r="E14" s="13"/>
      <c r="F14" s="13"/>
      <c r="G14" s="13"/>
      <c r="H14" s="13"/>
      <c r="I14" s="13"/>
    </row>
    <row r="15" customFormat="false" ht="15.75" hidden="false" customHeight="false" outlineLevel="0" collapsed="false">
      <c r="A15" s="10" t="n">
        <v>13</v>
      </c>
      <c r="B15" s="11"/>
      <c r="C15" s="11"/>
      <c r="D15" s="11"/>
      <c r="E15" s="11"/>
      <c r="F15" s="11"/>
      <c r="G15" s="11"/>
      <c r="H15" s="11"/>
      <c r="I15" s="11"/>
    </row>
    <row r="16" customFormat="false" ht="15.75" hidden="false" customHeight="false" outlineLevel="0" collapsed="false">
      <c r="A16" s="10" t="n">
        <v>14</v>
      </c>
      <c r="B16" s="13"/>
      <c r="C16" s="13"/>
      <c r="D16" s="13"/>
      <c r="E16" s="13"/>
      <c r="F16" s="13"/>
      <c r="G16" s="13"/>
      <c r="H16" s="13"/>
      <c r="I16" s="13"/>
    </row>
    <row r="17" customFormat="false" ht="15.75" hidden="false" customHeight="false" outlineLevel="0" collapsed="false">
      <c r="A17" s="10" t="n">
        <v>15</v>
      </c>
      <c r="B17" s="13"/>
      <c r="C17" s="13"/>
      <c r="D17" s="13"/>
      <c r="E17" s="13"/>
      <c r="F17" s="13"/>
      <c r="G17" s="13"/>
      <c r="H17" s="13"/>
      <c r="I17" s="11"/>
    </row>
    <row r="18" customFormat="false" ht="15.75" hidden="false" customHeight="false" outlineLevel="0" collapsed="false">
      <c r="A18" s="10" t="n">
        <v>16</v>
      </c>
      <c r="B18" s="11"/>
      <c r="C18" s="11"/>
      <c r="D18" s="11"/>
      <c r="E18" s="11"/>
      <c r="F18" s="11"/>
      <c r="G18" s="11"/>
      <c r="H18" s="11"/>
      <c r="I18" s="13"/>
    </row>
    <row r="19" customFormat="false" ht="15.75" hidden="false" customHeight="false" outlineLevel="0" collapsed="false">
      <c r="A19" s="10" t="n">
        <v>17</v>
      </c>
      <c r="B19" s="13"/>
      <c r="C19" s="13"/>
      <c r="D19" s="13"/>
      <c r="E19" s="13"/>
      <c r="F19" s="13"/>
      <c r="G19" s="13"/>
      <c r="H19" s="13"/>
      <c r="I19" s="11"/>
    </row>
    <row r="20" customFormat="false" ht="15.75" hidden="false" customHeight="false" outlineLevel="0" collapsed="false">
      <c r="A20" s="10" t="n">
        <v>18</v>
      </c>
      <c r="B20" s="11"/>
      <c r="C20" s="11"/>
      <c r="D20" s="11"/>
      <c r="E20" s="11"/>
      <c r="F20" s="11"/>
      <c r="G20" s="11"/>
      <c r="H20" s="11"/>
      <c r="I20" s="13"/>
    </row>
    <row r="21" customFormat="false" ht="15.75" hidden="false" customHeight="false" outlineLevel="0" collapsed="false">
      <c r="A21" s="10" t="n">
        <v>19</v>
      </c>
      <c r="B21" s="13"/>
      <c r="C21" s="13"/>
      <c r="D21" s="13"/>
      <c r="E21" s="13"/>
      <c r="F21" s="13"/>
      <c r="G21" s="13"/>
      <c r="H21" s="13"/>
      <c r="I21" s="11"/>
    </row>
    <row r="22" customFormat="false" ht="15.75" hidden="false" customHeight="false" outlineLevel="0" collapsed="false">
      <c r="A22" s="10" t="n">
        <v>20</v>
      </c>
      <c r="B22" s="11"/>
      <c r="C22" s="11"/>
      <c r="D22" s="11"/>
      <c r="E22" s="11"/>
      <c r="F22" s="11"/>
      <c r="G22" s="11"/>
      <c r="H22" s="11"/>
      <c r="I22" s="13"/>
    </row>
    <row r="23" customFormat="false" ht="15.75" hidden="false" customHeight="false" outlineLevel="0" collapsed="false">
      <c r="A23" s="10" t="n">
        <v>21</v>
      </c>
      <c r="B23" s="13"/>
      <c r="C23" s="13"/>
      <c r="D23" s="13"/>
      <c r="E23" s="13"/>
      <c r="F23" s="13"/>
      <c r="G23" s="13"/>
      <c r="H23" s="13"/>
      <c r="I23" s="11"/>
    </row>
    <row r="24" customFormat="false" ht="15.75" hidden="false" customHeight="false" outlineLevel="0" collapsed="false">
      <c r="A24" s="10" t="n">
        <v>22</v>
      </c>
      <c r="B24" s="11"/>
      <c r="C24" s="11"/>
      <c r="D24" s="11"/>
      <c r="E24" s="11"/>
      <c r="F24" s="11"/>
      <c r="G24" s="11"/>
      <c r="H24" s="11"/>
      <c r="I24" s="13"/>
    </row>
    <row r="25" customFormat="false" ht="15.75" hidden="false" customHeight="false" outlineLevel="0" collapsed="false">
      <c r="A25" s="10" t="n">
        <v>23</v>
      </c>
      <c r="B25" s="13"/>
      <c r="C25" s="13"/>
      <c r="D25" s="13"/>
      <c r="E25" s="13"/>
      <c r="F25" s="13"/>
      <c r="G25" s="13"/>
      <c r="H25" s="13"/>
      <c r="I25" s="11"/>
    </row>
    <row r="26" customFormat="false" ht="15.75" hidden="false" customHeight="false" outlineLevel="0" collapsed="false">
      <c r="A26" s="14" t="n">
        <v>24</v>
      </c>
    </row>
  </sheetData>
  <mergeCells count="3">
    <mergeCell ref="A1:I1"/>
    <mergeCell ref="A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1398</v>
      </c>
      <c r="C1" s="0" t="s">
        <v>1399</v>
      </c>
      <c r="D1" s="0" t="s">
        <v>7</v>
      </c>
      <c r="E1" s="0" t="s">
        <v>8</v>
      </c>
      <c r="F1" s="0" t="s">
        <v>9</v>
      </c>
      <c r="G1" s="0" t="s">
        <v>1400</v>
      </c>
    </row>
    <row r="2" customFormat="false" ht="15" hidden="false" customHeight="false" outlineLevel="0" collapsed="false">
      <c r="A2" s="0" t="s">
        <v>27</v>
      </c>
      <c r="B2" s="0" t="n">
        <v>25223</v>
      </c>
      <c r="C2" s="0" t="s">
        <v>903</v>
      </c>
      <c r="D2" s="0" t="n">
        <v>27</v>
      </c>
      <c r="E2" s="0" t="n">
        <v>26</v>
      </c>
      <c r="F2" s="0" t="n">
        <v>2</v>
      </c>
      <c r="G2" s="0" t="s">
        <v>1401</v>
      </c>
    </row>
    <row r="3" customFormat="false" ht="15" hidden="false" customHeight="false" outlineLevel="0" collapsed="false">
      <c r="A3" s="0" t="s">
        <v>27</v>
      </c>
      <c r="B3" s="0" t="n">
        <v>25224</v>
      </c>
      <c r="C3" s="0" t="s">
        <v>904</v>
      </c>
      <c r="D3" s="0" t="n">
        <v>29</v>
      </c>
      <c r="E3" s="0" t="n">
        <v>25</v>
      </c>
      <c r="F3" s="0" t="n">
        <v>1</v>
      </c>
      <c r="G3" s="0" t="s">
        <v>1402</v>
      </c>
    </row>
    <row r="4" customFormat="false" ht="15" hidden="false" customHeight="false" outlineLevel="0" collapsed="false">
      <c r="A4" s="0" t="s">
        <v>27</v>
      </c>
      <c r="B4" s="0" t="n">
        <v>25226</v>
      </c>
      <c r="C4" s="0" t="s">
        <v>879</v>
      </c>
      <c r="D4" s="0" t="n">
        <v>23</v>
      </c>
      <c r="E4" s="0" t="n">
        <v>26</v>
      </c>
      <c r="F4" s="0" t="n">
        <v>2</v>
      </c>
      <c r="G4" s="0" t="s">
        <v>1403</v>
      </c>
    </row>
    <row r="5" customFormat="false" ht="15" hidden="false" customHeight="false" outlineLevel="0" collapsed="false">
      <c r="A5" s="0" t="s">
        <v>27</v>
      </c>
      <c r="B5" s="0" t="n">
        <v>25228</v>
      </c>
      <c r="C5" s="0" t="s">
        <v>881</v>
      </c>
      <c r="D5" s="0" t="n">
        <v>54</v>
      </c>
      <c r="E5" s="0" t="n">
        <v>5</v>
      </c>
      <c r="F5" s="0" t="n">
        <v>2</v>
      </c>
      <c r="G5" s="0" t="s">
        <v>1404</v>
      </c>
    </row>
    <row r="6" customFormat="false" ht="15" hidden="false" customHeight="false" outlineLevel="0" collapsed="false">
      <c r="A6" s="0" t="s">
        <v>27</v>
      </c>
      <c r="B6" s="0" t="n">
        <v>25229</v>
      </c>
      <c r="C6" s="0" t="s">
        <v>883</v>
      </c>
      <c r="D6" s="0" t="n">
        <v>54</v>
      </c>
      <c r="E6" s="0" t="n">
        <v>7</v>
      </c>
      <c r="F6" s="0" t="n">
        <v>0</v>
      </c>
      <c r="G6" s="0" t="s">
        <v>1405</v>
      </c>
    </row>
    <row r="7" customFormat="false" ht="15" hidden="false" customHeight="false" outlineLevel="0" collapsed="false">
      <c r="A7" s="0" t="s">
        <v>27</v>
      </c>
      <c r="B7" s="0" t="n">
        <v>25181</v>
      </c>
      <c r="C7" s="0" t="s">
        <v>886</v>
      </c>
      <c r="D7" s="0" t="n">
        <v>48</v>
      </c>
      <c r="E7" s="0" t="n">
        <v>10</v>
      </c>
      <c r="F7" s="0" t="n">
        <v>3</v>
      </c>
      <c r="G7" s="0" t="s">
        <v>1406</v>
      </c>
    </row>
    <row r="8" customFormat="false" ht="15" hidden="false" customHeight="false" outlineLevel="0" collapsed="false">
      <c r="A8" s="0" t="s">
        <v>27</v>
      </c>
      <c r="C8" s="0" t="s">
        <v>889</v>
      </c>
      <c r="D8" s="0" t="n">
        <v>52</v>
      </c>
      <c r="E8" s="0" t="n">
        <v>7</v>
      </c>
      <c r="F8" s="0" t="n">
        <v>2</v>
      </c>
      <c r="G8" s="0" t="s">
        <v>1407</v>
      </c>
    </row>
    <row r="9" customFormat="false" ht="15" hidden="false" customHeight="false" outlineLevel="0" collapsed="false">
      <c r="A9" s="0" t="s">
        <v>27</v>
      </c>
      <c r="C9" s="0" t="s">
        <v>1408</v>
      </c>
      <c r="D9" s="0" t="n">
        <v>10</v>
      </c>
      <c r="E9" s="0" t="n">
        <v>28</v>
      </c>
      <c r="F9" s="0" t="n">
        <v>0</v>
      </c>
      <c r="G9" s="0" t="s">
        <v>1409</v>
      </c>
    </row>
    <row r="10" customFormat="false" ht="15" hidden="false" customHeight="false" outlineLevel="0" collapsed="false">
      <c r="A10" s="0" t="s">
        <v>27</v>
      </c>
      <c r="B10" s="0" t="n">
        <v>25173</v>
      </c>
      <c r="C10" s="0" t="s">
        <v>1410</v>
      </c>
      <c r="D10" s="0" t="n">
        <v>16</v>
      </c>
      <c r="E10" s="0" t="n">
        <v>22</v>
      </c>
      <c r="F10" s="0" t="n">
        <v>0</v>
      </c>
      <c r="G10" s="0" t="s">
        <v>1411</v>
      </c>
    </row>
    <row r="11" customFormat="false" ht="15" hidden="false" customHeight="false" outlineLevel="0" collapsed="false">
      <c r="A11" s="0" t="s">
        <v>27</v>
      </c>
      <c r="C11" s="0" t="s">
        <v>1412</v>
      </c>
      <c r="D11" s="0" t="n">
        <v>23</v>
      </c>
      <c r="E11" s="0" t="n">
        <v>15</v>
      </c>
      <c r="F11" s="0" t="n">
        <v>0</v>
      </c>
      <c r="G11" s="0" t="s">
        <v>1413</v>
      </c>
    </row>
    <row r="12" customFormat="false" ht="15" hidden="false" customHeight="false" outlineLevel="0" collapsed="false">
      <c r="A12" s="0" t="s">
        <v>27</v>
      </c>
      <c r="C12" s="0" t="s">
        <v>735</v>
      </c>
      <c r="D12" s="0" t="n">
        <v>16</v>
      </c>
      <c r="E12" s="0" t="n">
        <v>4</v>
      </c>
      <c r="F12" s="0" t="n">
        <v>0</v>
      </c>
      <c r="G12" s="0" t="s">
        <v>1414</v>
      </c>
    </row>
    <row r="13" customFormat="false" ht="15" hidden="false" customHeight="false" outlineLevel="0" collapsed="false">
      <c r="A13" s="0" t="s">
        <v>27</v>
      </c>
      <c r="B13" s="0" t="n">
        <v>25235</v>
      </c>
      <c r="C13" s="0" t="s">
        <v>894</v>
      </c>
      <c r="D13" s="0" t="n">
        <v>18</v>
      </c>
      <c r="E13" s="0" t="n">
        <v>0</v>
      </c>
      <c r="F13" s="0" t="n">
        <v>2</v>
      </c>
      <c r="G13" s="0" t="s">
        <v>1415</v>
      </c>
    </row>
    <row r="14" customFormat="false" ht="15" hidden="false" customHeight="false" outlineLevel="0" collapsed="false">
      <c r="A14" s="0" t="s">
        <v>27</v>
      </c>
      <c r="B14" s="0" t="n">
        <v>25236</v>
      </c>
      <c r="C14" s="0" t="s">
        <v>1330</v>
      </c>
      <c r="D14" s="0" t="n">
        <v>20</v>
      </c>
      <c r="E14" s="0" t="n">
        <v>0</v>
      </c>
      <c r="F14" s="0" t="n">
        <v>0</v>
      </c>
      <c r="G14" s="0" t="s">
        <v>1416</v>
      </c>
    </row>
    <row r="15" customFormat="false" ht="15" hidden="false" customHeight="false" outlineLevel="0" collapsed="false">
      <c r="A15" s="0" t="s">
        <v>28</v>
      </c>
      <c r="B15" s="0" t="n">
        <v>25232</v>
      </c>
      <c r="C15" s="0" t="s">
        <v>911</v>
      </c>
      <c r="D15" s="0" t="n">
        <v>10</v>
      </c>
      <c r="E15" s="0" t="n">
        <v>24</v>
      </c>
      <c r="F15" s="0" t="n">
        <v>1</v>
      </c>
      <c r="G15" s="0" t="s">
        <v>1417</v>
      </c>
    </row>
    <row r="16" customFormat="false" ht="15" hidden="false" customHeight="false" outlineLevel="0" collapsed="false">
      <c r="A16" s="0" t="s">
        <v>28</v>
      </c>
      <c r="B16" s="0" t="n">
        <v>25233</v>
      </c>
      <c r="C16" s="0" t="s">
        <v>913</v>
      </c>
      <c r="D16" s="0" t="n">
        <v>9</v>
      </c>
      <c r="E16" s="0" t="n">
        <v>26</v>
      </c>
      <c r="F16" s="0" t="n">
        <v>0</v>
      </c>
      <c r="G16" s="0" t="s">
        <v>1418</v>
      </c>
    </row>
    <row r="17" customFormat="false" ht="15" hidden="false" customHeight="false" outlineLevel="0" collapsed="false">
      <c r="A17" s="0" t="s">
        <v>28</v>
      </c>
      <c r="B17" s="0" t="n">
        <v>25234</v>
      </c>
      <c r="C17" s="0" t="s">
        <v>915</v>
      </c>
      <c r="D17" s="0" t="n">
        <v>25</v>
      </c>
      <c r="E17" s="0" t="n">
        <v>8</v>
      </c>
      <c r="F17" s="0" t="n">
        <v>2</v>
      </c>
      <c r="G17" s="0" t="s">
        <v>1419</v>
      </c>
    </row>
    <row r="18" customFormat="false" ht="15" hidden="false" customHeight="false" outlineLevel="0" collapsed="false">
      <c r="A18" s="0" t="s">
        <v>28</v>
      </c>
      <c r="B18" s="0" t="n">
        <v>25235</v>
      </c>
      <c r="C18" s="0" t="s">
        <v>894</v>
      </c>
      <c r="D18" s="0" t="n">
        <v>35</v>
      </c>
      <c r="E18" s="0" t="n">
        <v>0</v>
      </c>
      <c r="F18" s="0" t="n">
        <v>0</v>
      </c>
      <c r="G18" s="0" t="s">
        <v>1420</v>
      </c>
    </row>
    <row r="19" customFormat="false" ht="15" hidden="false" customHeight="false" outlineLevel="0" collapsed="false">
      <c r="A19" s="0" t="s">
        <v>28</v>
      </c>
      <c r="B19" s="0" t="n">
        <v>25236</v>
      </c>
      <c r="C19" s="0" t="s">
        <v>1421</v>
      </c>
      <c r="D19" s="0" t="n">
        <v>30</v>
      </c>
      <c r="E19" s="0" t="n">
        <v>2</v>
      </c>
      <c r="F19" s="0" t="n">
        <v>3</v>
      </c>
      <c r="G19" s="0" t="s">
        <v>1422</v>
      </c>
    </row>
    <row r="20" customFormat="false" ht="15" hidden="false" customHeight="false" outlineLevel="0" collapsed="false">
      <c r="A20" s="0" t="s">
        <v>28</v>
      </c>
      <c r="B20" s="0" t="n">
        <v>25237</v>
      </c>
      <c r="C20" s="0" t="s">
        <v>918</v>
      </c>
      <c r="D20" s="0" t="n">
        <v>28</v>
      </c>
      <c r="E20" s="0" t="n">
        <v>4</v>
      </c>
      <c r="F20" s="0" t="n">
        <v>3</v>
      </c>
      <c r="G20" s="0" t="s">
        <v>1423</v>
      </c>
    </row>
    <row r="21" customFormat="false" ht="15" hidden="false" customHeight="false" outlineLevel="0" collapsed="false">
      <c r="A21" s="0" t="s">
        <v>28</v>
      </c>
      <c r="B21" s="0" t="n">
        <v>25238</v>
      </c>
      <c r="C21" s="0" t="s">
        <v>921</v>
      </c>
      <c r="D21" s="0" t="n">
        <v>30</v>
      </c>
      <c r="E21" s="0" t="n">
        <v>3</v>
      </c>
      <c r="F21" s="0" t="n">
        <v>2</v>
      </c>
      <c r="G21" s="0" t="s">
        <v>1424</v>
      </c>
    </row>
    <row r="22" customFormat="false" ht="15" hidden="false" customHeight="false" outlineLevel="0" collapsed="false">
      <c r="A22" s="0" t="s">
        <v>28</v>
      </c>
      <c r="B22" s="0" t="n">
        <v>25198</v>
      </c>
      <c r="C22" s="0" t="s">
        <v>892</v>
      </c>
      <c r="D22" s="0" t="n">
        <v>7</v>
      </c>
      <c r="E22" s="0" t="n">
        <v>20</v>
      </c>
      <c r="F22" s="0" t="n">
        <v>0</v>
      </c>
      <c r="G22" s="0" t="s">
        <v>1425</v>
      </c>
    </row>
    <row r="23" customFormat="false" ht="15" hidden="false" customHeight="false" outlineLevel="0" collapsed="false">
      <c r="A23" s="0" t="s">
        <v>28</v>
      </c>
      <c r="B23" s="0" t="n">
        <v>25222</v>
      </c>
      <c r="C23" s="0" t="s">
        <v>902</v>
      </c>
      <c r="D23" s="0" t="n">
        <v>15</v>
      </c>
      <c r="E23" s="0" t="n">
        <v>17</v>
      </c>
      <c r="F23" s="0" t="n">
        <v>3</v>
      </c>
      <c r="G23" s="0" t="s">
        <v>1426</v>
      </c>
    </row>
    <row r="24" customFormat="false" ht="15" hidden="false" customHeight="false" outlineLevel="0" collapsed="false">
      <c r="A24" s="0" t="s">
        <v>28</v>
      </c>
      <c r="B24" s="0" t="n">
        <v>25227</v>
      </c>
      <c r="C24" s="0" t="s">
        <v>906</v>
      </c>
      <c r="D24" s="0" t="n">
        <v>22</v>
      </c>
      <c r="E24" s="0" t="n">
        <v>11</v>
      </c>
      <c r="F24" s="0" t="n">
        <v>2</v>
      </c>
      <c r="G24" s="0" t="s">
        <v>1427</v>
      </c>
    </row>
    <row r="25" customFormat="false" ht="15" hidden="false" customHeight="false" outlineLevel="0" collapsed="false">
      <c r="A25" s="0" t="s">
        <v>28</v>
      </c>
      <c r="C25" s="0" t="s">
        <v>1428</v>
      </c>
      <c r="D25" s="0" t="n">
        <v>15</v>
      </c>
      <c r="E25" s="0" t="n">
        <v>10</v>
      </c>
      <c r="F25" s="0" t="n">
        <v>0</v>
      </c>
      <c r="G25" s="0" t="s">
        <v>1429</v>
      </c>
    </row>
    <row r="26" customFormat="false" ht="15" hidden="false" customHeight="false" outlineLevel="0" collapsed="false">
      <c r="A26" s="0" t="s">
        <v>28</v>
      </c>
      <c r="C26" s="0" t="s">
        <v>1430</v>
      </c>
      <c r="D26" s="0" t="n">
        <v>35</v>
      </c>
      <c r="E26" s="0" t="n">
        <v>0</v>
      </c>
      <c r="F26" s="0" t="n">
        <v>0</v>
      </c>
      <c r="G26" s="0" t="s">
        <v>1431</v>
      </c>
    </row>
    <row r="27" customFormat="false" ht="15" hidden="false" customHeight="false" outlineLevel="0" collapsed="false">
      <c r="A27" s="0" t="s">
        <v>26</v>
      </c>
      <c r="B27" s="0" t="n">
        <v>25197</v>
      </c>
      <c r="C27" s="0" t="s">
        <v>170</v>
      </c>
      <c r="D27" s="0" t="n">
        <v>65</v>
      </c>
      <c r="E27" s="0" t="n">
        <v>1</v>
      </c>
      <c r="F27" s="0" t="n">
        <v>0</v>
      </c>
      <c r="G27" s="0" t="s">
        <v>1432</v>
      </c>
    </row>
    <row r="28" customFormat="false" ht="15" hidden="false" customHeight="false" outlineLevel="0" collapsed="false">
      <c r="A28" s="0" t="s">
        <v>26</v>
      </c>
      <c r="B28" s="0" t="n">
        <v>25199</v>
      </c>
      <c r="C28" s="0" t="s">
        <v>172</v>
      </c>
      <c r="D28" s="0" t="n">
        <v>32</v>
      </c>
      <c r="E28" s="0" t="n">
        <v>34</v>
      </c>
      <c r="F28" s="0" t="n">
        <v>0</v>
      </c>
      <c r="G28" s="0" t="s">
        <v>1433</v>
      </c>
    </row>
    <row r="29" customFormat="false" ht="15" hidden="false" customHeight="false" outlineLevel="0" collapsed="false">
      <c r="A29" s="0" t="s">
        <v>26</v>
      </c>
      <c r="B29" s="0" t="n">
        <v>25200</v>
      </c>
      <c r="C29" s="0" t="s">
        <v>850</v>
      </c>
      <c r="D29" s="0" t="n">
        <v>46</v>
      </c>
      <c r="E29" s="0" t="n">
        <v>19</v>
      </c>
      <c r="F29" s="0" t="n">
        <v>1</v>
      </c>
      <c r="G29" s="0" t="s">
        <v>1434</v>
      </c>
    </row>
    <row r="30" customFormat="false" ht="15" hidden="false" customHeight="false" outlineLevel="0" collapsed="false">
      <c r="A30" s="0" t="s">
        <v>26</v>
      </c>
      <c r="B30" s="0" t="n">
        <v>25205</v>
      </c>
      <c r="C30" s="0" t="s">
        <v>853</v>
      </c>
      <c r="D30" s="0" t="n">
        <v>63</v>
      </c>
      <c r="E30" s="0" t="n">
        <v>3</v>
      </c>
      <c r="F30" s="0" t="n">
        <v>0</v>
      </c>
      <c r="G30" s="0" t="s">
        <v>1435</v>
      </c>
    </row>
    <row r="31" customFormat="false" ht="15" hidden="false" customHeight="false" outlineLevel="0" collapsed="false">
      <c r="A31" s="0" t="s">
        <v>26</v>
      </c>
      <c r="B31" s="0" t="n">
        <v>25206</v>
      </c>
      <c r="C31" s="0" t="s">
        <v>176</v>
      </c>
      <c r="D31" s="0" t="n">
        <v>65</v>
      </c>
      <c r="E31" s="0" t="n">
        <v>1</v>
      </c>
      <c r="F31" s="0" t="n">
        <v>0</v>
      </c>
      <c r="G31" s="0" t="s">
        <v>1436</v>
      </c>
    </row>
    <row r="32" customFormat="false" ht="15" hidden="false" customHeight="false" outlineLevel="0" collapsed="false">
      <c r="A32" s="0" t="s">
        <v>26</v>
      </c>
      <c r="B32" s="0" t="n">
        <v>25207</v>
      </c>
      <c r="C32" s="0" t="s">
        <v>857</v>
      </c>
      <c r="D32" s="0" t="n">
        <v>37</v>
      </c>
      <c r="E32" s="0" t="n">
        <v>25</v>
      </c>
      <c r="F32" s="0" t="n">
        <v>4</v>
      </c>
      <c r="G32" s="0" t="s">
        <v>1437</v>
      </c>
    </row>
    <row r="33" customFormat="false" ht="15" hidden="false" customHeight="false" outlineLevel="0" collapsed="false">
      <c r="A33" s="0" t="s">
        <v>26</v>
      </c>
      <c r="B33" s="0" t="n">
        <v>25208</v>
      </c>
      <c r="C33" s="0" t="s">
        <v>178</v>
      </c>
      <c r="D33" s="0" t="n">
        <v>54</v>
      </c>
      <c r="E33" s="0" t="n">
        <v>9</v>
      </c>
      <c r="F33" s="0" t="n">
        <v>3</v>
      </c>
      <c r="G33" s="0" t="s">
        <v>1438</v>
      </c>
    </row>
    <row r="34" customFormat="false" ht="15" hidden="false" customHeight="false" outlineLevel="0" collapsed="false">
      <c r="A34" s="0" t="s">
        <v>26</v>
      </c>
      <c r="B34" s="0" t="n">
        <v>25209</v>
      </c>
      <c r="C34" s="0" t="s">
        <v>180</v>
      </c>
      <c r="D34" s="0" t="n">
        <v>35</v>
      </c>
      <c r="E34" s="0" t="n">
        <v>30</v>
      </c>
      <c r="F34" s="0" t="n">
        <v>1</v>
      </c>
      <c r="G34" s="0" t="s">
        <v>1439</v>
      </c>
    </row>
    <row r="35" customFormat="false" ht="15" hidden="false" customHeight="false" outlineLevel="0" collapsed="false">
      <c r="A35" s="0" t="s">
        <v>26</v>
      </c>
      <c r="B35" s="0" t="n">
        <v>25210</v>
      </c>
      <c r="C35" s="0" t="s">
        <v>182</v>
      </c>
      <c r="D35" s="0" t="n">
        <v>47</v>
      </c>
      <c r="E35" s="0" t="n">
        <v>17</v>
      </c>
      <c r="F35" s="0" t="n">
        <v>2</v>
      </c>
      <c r="G35" s="0" t="s">
        <v>1440</v>
      </c>
    </row>
    <row r="36" customFormat="false" ht="15" hidden="false" customHeight="false" outlineLevel="0" collapsed="false">
      <c r="A36" s="0" t="s">
        <v>26</v>
      </c>
      <c r="B36" s="0" t="n">
        <v>25211</v>
      </c>
      <c r="C36" s="0" t="s">
        <v>861</v>
      </c>
      <c r="D36" s="0" t="n">
        <v>54</v>
      </c>
      <c r="E36" s="0" t="n">
        <v>11</v>
      </c>
      <c r="F36" s="0" t="n">
        <v>1</v>
      </c>
      <c r="G36" s="0" t="s">
        <v>1441</v>
      </c>
    </row>
    <row r="37" customFormat="false" ht="15" hidden="false" customHeight="false" outlineLevel="0" collapsed="false">
      <c r="A37" s="0" t="s">
        <v>26</v>
      </c>
      <c r="B37" s="0" t="n">
        <v>25212</v>
      </c>
      <c r="C37" s="0" t="s">
        <v>864</v>
      </c>
      <c r="D37" s="0" t="n">
        <v>60</v>
      </c>
      <c r="E37" s="0" t="n">
        <v>5</v>
      </c>
      <c r="F37" s="0" t="n">
        <v>1</v>
      </c>
      <c r="G37" s="0" t="s">
        <v>1442</v>
      </c>
    </row>
    <row r="38" customFormat="false" ht="15" hidden="false" customHeight="false" outlineLevel="0" collapsed="false">
      <c r="A38" s="0" t="s">
        <v>26</v>
      </c>
      <c r="B38" s="0" t="n">
        <v>25213</v>
      </c>
      <c r="C38" s="0" t="s">
        <v>184</v>
      </c>
      <c r="D38" s="0" t="n">
        <v>50</v>
      </c>
      <c r="E38" s="0" t="n">
        <v>16</v>
      </c>
      <c r="F38" s="0" t="n">
        <v>0</v>
      </c>
      <c r="G38" s="0" t="s">
        <v>1443</v>
      </c>
    </row>
    <row r="39" customFormat="false" ht="15" hidden="false" customHeight="false" outlineLevel="0" collapsed="false">
      <c r="A39" s="0" t="s">
        <v>26</v>
      </c>
      <c r="B39" s="0" t="n">
        <v>25214</v>
      </c>
      <c r="C39" s="0" t="s">
        <v>186</v>
      </c>
      <c r="D39" s="0" t="n">
        <v>49</v>
      </c>
      <c r="E39" s="0" t="n">
        <v>16</v>
      </c>
      <c r="F39" s="0" t="n">
        <v>1</v>
      </c>
      <c r="G39" s="0" t="s">
        <v>1444</v>
      </c>
    </row>
    <row r="40" customFormat="false" ht="15" hidden="false" customHeight="false" outlineLevel="0" collapsed="false">
      <c r="A40" s="0" t="s">
        <v>26</v>
      </c>
      <c r="B40" s="0" t="n">
        <v>25215</v>
      </c>
      <c r="C40" s="0" t="s">
        <v>188</v>
      </c>
      <c r="D40" s="0" t="n">
        <v>60</v>
      </c>
      <c r="E40" s="0" t="n">
        <v>6</v>
      </c>
      <c r="F40" s="0" t="n">
        <v>0</v>
      </c>
      <c r="G40" s="0" t="s">
        <v>1445</v>
      </c>
    </row>
    <row r="41" customFormat="false" ht="15" hidden="false" customHeight="false" outlineLevel="0" collapsed="false">
      <c r="A41" s="0" t="s">
        <v>26</v>
      </c>
      <c r="B41" s="0" t="n">
        <v>25216</v>
      </c>
      <c r="C41" s="0" t="s">
        <v>190</v>
      </c>
      <c r="D41" s="0" t="n">
        <v>40</v>
      </c>
      <c r="E41" s="0" t="n">
        <v>23</v>
      </c>
      <c r="F41" s="0" t="n">
        <v>3</v>
      </c>
      <c r="G41" s="0" t="s">
        <v>1446</v>
      </c>
    </row>
    <row r="42" customFormat="false" ht="15" hidden="false" customHeight="false" outlineLevel="0" collapsed="false">
      <c r="A42" s="0" t="s">
        <v>26</v>
      </c>
      <c r="B42" s="0" t="n">
        <v>25217</v>
      </c>
      <c r="C42" s="0" t="s">
        <v>871</v>
      </c>
      <c r="D42" s="0" t="n">
        <v>31</v>
      </c>
      <c r="E42" s="0" t="n">
        <v>34</v>
      </c>
      <c r="F42" s="0" t="n">
        <v>1</v>
      </c>
      <c r="G42" s="0" t="s">
        <v>1447</v>
      </c>
    </row>
    <row r="43" customFormat="false" ht="15" hidden="false" customHeight="false" outlineLevel="0" collapsed="false">
      <c r="A43" s="0" t="s">
        <v>26</v>
      </c>
      <c r="C43" s="0" t="s">
        <v>1448</v>
      </c>
      <c r="D43" s="0" t="n">
        <v>8</v>
      </c>
      <c r="E43" s="0" t="n">
        <v>9</v>
      </c>
      <c r="F43" s="0" t="n">
        <v>1</v>
      </c>
      <c r="G43" s="0" t="s">
        <v>1449</v>
      </c>
    </row>
    <row r="44" customFormat="false" ht="15" hidden="false" customHeight="false" outlineLevel="0" collapsed="false">
      <c r="A44" s="0" t="s">
        <v>26</v>
      </c>
      <c r="B44" s="0" t="n">
        <v>25230</v>
      </c>
      <c r="C44" s="0" t="s">
        <v>207</v>
      </c>
      <c r="D44" s="0" t="n">
        <v>7</v>
      </c>
      <c r="E44" s="0" t="n">
        <v>12</v>
      </c>
      <c r="F44" s="0" t="n">
        <v>0</v>
      </c>
      <c r="G44" s="0" t="s">
        <v>1450</v>
      </c>
    </row>
    <row r="45" customFormat="false" ht="15" hidden="false" customHeight="false" outlineLevel="0" collapsed="false">
      <c r="A45" s="0" t="s">
        <v>26</v>
      </c>
      <c r="B45" s="0" t="n">
        <v>25231</v>
      </c>
      <c r="C45" s="0" t="s">
        <v>209</v>
      </c>
      <c r="D45" s="0" t="n">
        <v>7</v>
      </c>
      <c r="E45" s="0" t="n">
        <v>12</v>
      </c>
      <c r="F45" s="0" t="n">
        <v>0</v>
      </c>
      <c r="G45" s="0" t="s">
        <v>1451</v>
      </c>
    </row>
    <row r="46" customFormat="false" ht="15" hidden="false" customHeight="false" outlineLevel="0" collapsed="false">
      <c r="A46" s="0" t="s">
        <v>26</v>
      </c>
      <c r="C46" s="0" t="s">
        <v>1452</v>
      </c>
      <c r="D46" s="0" t="n">
        <v>5</v>
      </c>
      <c r="E46" s="0" t="n">
        <v>14</v>
      </c>
      <c r="F46" s="0" t="n">
        <v>0</v>
      </c>
      <c r="G46" s="0" t="s">
        <v>1453</v>
      </c>
    </row>
    <row r="47" customFormat="false" ht="15" hidden="false" customHeight="false" outlineLevel="0" collapsed="false">
      <c r="A47" s="0" t="s">
        <v>26</v>
      </c>
      <c r="C47" s="0" t="s">
        <v>1454</v>
      </c>
      <c r="D47" s="0" t="n">
        <v>26</v>
      </c>
      <c r="E47" s="0" t="n">
        <v>6</v>
      </c>
      <c r="F47" s="0" t="n">
        <v>0</v>
      </c>
      <c r="G47" s="0" t="s">
        <v>1455</v>
      </c>
    </row>
    <row r="48" customFormat="false" ht="15" hidden="false" customHeight="false" outlineLevel="0" collapsed="false">
      <c r="A48" s="0" t="s">
        <v>26</v>
      </c>
      <c r="C48" s="0" t="s">
        <v>1456</v>
      </c>
      <c r="D48" s="0" t="n">
        <v>33</v>
      </c>
      <c r="E48" s="0" t="n">
        <v>0</v>
      </c>
      <c r="F48" s="0" t="n">
        <v>0</v>
      </c>
      <c r="G48" s="0" t="s">
        <v>1457</v>
      </c>
    </row>
    <row r="49" customFormat="false" ht="15" hidden="false" customHeight="false" outlineLevel="0" collapsed="false">
      <c r="A49" s="0" t="s">
        <v>34</v>
      </c>
      <c r="B49" s="0" t="n">
        <v>25110</v>
      </c>
      <c r="C49" s="0" t="s">
        <v>1055</v>
      </c>
      <c r="D49" s="0" t="n">
        <v>18</v>
      </c>
      <c r="E49" s="0" t="n">
        <v>4</v>
      </c>
      <c r="F49" s="0" t="n">
        <v>6</v>
      </c>
      <c r="G49" s="0" t="s">
        <v>1458</v>
      </c>
    </row>
    <row r="50" customFormat="false" ht="15" hidden="false" customHeight="false" outlineLevel="0" collapsed="false">
      <c r="A50" s="0" t="s">
        <v>34</v>
      </c>
      <c r="B50" s="0" t="n">
        <v>25147</v>
      </c>
      <c r="C50" s="0" t="s">
        <v>1459</v>
      </c>
      <c r="D50" s="0" t="n">
        <v>22</v>
      </c>
      <c r="E50" s="0" t="n">
        <v>12</v>
      </c>
      <c r="F50" s="0" t="n">
        <v>1</v>
      </c>
      <c r="G50" s="0" t="s">
        <v>1460</v>
      </c>
    </row>
    <row r="51" customFormat="false" ht="15" hidden="false" customHeight="false" outlineLevel="0" collapsed="false">
      <c r="A51" s="0" t="s">
        <v>34</v>
      </c>
      <c r="B51" s="0" t="n">
        <v>26249</v>
      </c>
      <c r="C51" s="0" t="s">
        <v>1461</v>
      </c>
      <c r="D51" s="0" t="n">
        <v>16</v>
      </c>
      <c r="E51" s="0" t="n">
        <v>19</v>
      </c>
      <c r="F51" s="0" t="n">
        <v>0</v>
      </c>
      <c r="G51" s="0" t="s">
        <v>1462</v>
      </c>
    </row>
    <row r="52" customFormat="false" ht="15" hidden="false" customHeight="false" outlineLevel="0" collapsed="false">
      <c r="A52" s="0" t="s">
        <v>34</v>
      </c>
      <c r="B52" s="0" t="n">
        <v>26260</v>
      </c>
      <c r="C52" s="0" t="s">
        <v>1463</v>
      </c>
      <c r="D52" s="0" t="n">
        <v>10</v>
      </c>
      <c r="E52" s="0" t="n">
        <v>24</v>
      </c>
      <c r="F52" s="0" t="n">
        <v>1</v>
      </c>
      <c r="G52" s="0" t="s">
        <v>1464</v>
      </c>
    </row>
    <row r="53" customFormat="false" ht="15" hidden="false" customHeight="false" outlineLevel="0" collapsed="false">
      <c r="A53" s="0" t="s">
        <v>34</v>
      </c>
      <c r="B53" s="0" t="n">
        <v>25162</v>
      </c>
      <c r="C53" s="0" t="s">
        <v>1465</v>
      </c>
      <c r="D53" s="0" t="n">
        <v>27</v>
      </c>
      <c r="E53" s="0" t="n">
        <v>6</v>
      </c>
      <c r="F53" s="0" t="n">
        <v>2</v>
      </c>
      <c r="G53" s="0" t="s">
        <v>1466</v>
      </c>
    </row>
    <row r="54" customFormat="false" ht="15" hidden="false" customHeight="false" outlineLevel="0" collapsed="false">
      <c r="A54" s="0" t="s">
        <v>34</v>
      </c>
      <c r="B54" s="0" t="n">
        <v>25191</v>
      </c>
      <c r="C54" s="0" t="s">
        <v>837</v>
      </c>
      <c r="D54" s="0" t="n">
        <v>7</v>
      </c>
      <c r="E54" s="0" t="n">
        <v>26</v>
      </c>
      <c r="F54" s="0" t="n">
        <v>2</v>
      </c>
      <c r="G54" s="0" t="s">
        <v>1467</v>
      </c>
    </row>
    <row r="55" customFormat="false" ht="15" hidden="false" customHeight="false" outlineLevel="0" collapsed="false">
      <c r="A55" s="0" t="s">
        <v>34</v>
      </c>
      <c r="B55" s="0" t="n">
        <v>25193</v>
      </c>
      <c r="C55" s="0" t="s">
        <v>834</v>
      </c>
      <c r="D55" s="0" t="n">
        <v>18</v>
      </c>
      <c r="E55" s="0" t="n">
        <v>10</v>
      </c>
      <c r="F55" s="0" t="n">
        <v>1</v>
      </c>
      <c r="G55" s="0" t="s">
        <v>1468</v>
      </c>
    </row>
    <row r="56" customFormat="false" ht="15" hidden="false" customHeight="false" outlineLevel="0" collapsed="false">
      <c r="A56" s="0" t="s">
        <v>34</v>
      </c>
      <c r="B56" s="0" t="n">
        <v>199</v>
      </c>
      <c r="C56" s="0" t="s">
        <v>1469</v>
      </c>
      <c r="D56" s="0" t="n">
        <v>24</v>
      </c>
      <c r="E56" s="0" t="n">
        <v>10</v>
      </c>
      <c r="F56" s="0" t="n">
        <v>1</v>
      </c>
      <c r="G56" s="0" t="s">
        <v>1470</v>
      </c>
    </row>
    <row r="57" customFormat="false" ht="15" hidden="false" customHeight="false" outlineLevel="0" collapsed="false">
      <c r="A57" s="0" t="s">
        <v>34</v>
      </c>
      <c r="B57" s="0" t="n">
        <v>25159</v>
      </c>
      <c r="C57" s="0" t="s">
        <v>1471</v>
      </c>
      <c r="D57" s="0" t="n">
        <v>30</v>
      </c>
      <c r="E57" s="0" t="n">
        <v>5</v>
      </c>
      <c r="F57" s="0" t="n">
        <v>0</v>
      </c>
      <c r="G57" s="0" t="s">
        <v>1472</v>
      </c>
    </row>
    <row r="58" customFormat="false" ht="15" hidden="false" customHeight="false" outlineLevel="0" collapsed="false">
      <c r="A58" s="0" t="s">
        <v>34</v>
      </c>
      <c r="B58" s="0" t="n">
        <v>25156</v>
      </c>
      <c r="C58" s="0" t="s">
        <v>723</v>
      </c>
      <c r="D58" s="0" t="n">
        <v>19</v>
      </c>
      <c r="E58" s="0" t="n">
        <v>15</v>
      </c>
      <c r="F58" s="0" t="n">
        <v>1</v>
      </c>
      <c r="G58" s="0" t="s">
        <v>1473</v>
      </c>
    </row>
    <row r="59" customFormat="false" ht="15" hidden="false" customHeight="false" outlineLevel="0" collapsed="false">
      <c r="A59" s="0" t="s">
        <v>34</v>
      </c>
      <c r="B59" s="0" t="n">
        <v>25214</v>
      </c>
      <c r="C59" s="0" t="s">
        <v>1474</v>
      </c>
      <c r="D59" s="0" t="n">
        <v>15</v>
      </c>
      <c r="E59" s="0" t="n">
        <v>8</v>
      </c>
      <c r="F59" s="0" t="n">
        <v>1</v>
      </c>
      <c r="G59" s="0" t="s">
        <v>1475</v>
      </c>
    </row>
    <row r="60" customFormat="false" ht="15" hidden="false" customHeight="false" outlineLevel="0" collapsed="false">
      <c r="A60" s="0" t="s">
        <v>34</v>
      </c>
      <c r="C60" s="0" t="s">
        <v>1476</v>
      </c>
      <c r="D60" s="0" t="n">
        <v>28</v>
      </c>
      <c r="E60" s="0" t="n">
        <v>7</v>
      </c>
      <c r="F60" s="0" t="n">
        <v>0</v>
      </c>
      <c r="G60" s="0" t="s">
        <v>1477</v>
      </c>
    </row>
    <row r="61" customFormat="false" ht="15" hidden="false" customHeight="false" outlineLevel="0" collapsed="false">
      <c r="A61" s="0" t="s">
        <v>34</v>
      </c>
      <c r="B61" s="0" t="n">
        <v>25153</v>
      </c>
      <c r="C61" s="0" t="s">
        <v>1478</v>
      </c>
      <c r="D61" s="0" t="n">
        <v>8</v>
      </c>
      <c r="E61" s="0" t="n">
        <v>15</v>
      </c>
      <c r="F61" s="0" t="n">
        <v>1</v>
      </c>
      <c r="G61" s="0" t="s">
        <v>1479</v>
      </c>
    </row>
    <row r="62" customFormat="false" ht="15" hidden="false" customHeight="false" outlineLevel="0" collapsed="false">
      <c r="A62" s="0" t="s">
        <v>34</v>
      </c>
      <c r="B62" s="0" t="n">
        <v>223</v>
      </c>
      <c r="C62" s="0" t="s">
        <v>1480</v>
      </c>
      <c r="D62" s="0" t="n">
        <v>22</v>
      </c>
      <c r="E62" s="0" t="n">
        <v>2</v>
      </c>
      <c r="F62" s="0" t="n">
        <v>0</v>
      </c>
      <c r="G62" s="0" t="s">
        <v>1481</v>
      </c>
    </row>
    <row r="63" customFormat="false" ht="15" hidden="false" customHeight="false" outlineLevel="0" collapsed="false">
      <c r="A63" s="0" t="s">
        <v>35</v>
      </c>
      <c r="B63" s="0" t="n">
        <v>25201</v>
      </c>
      <c r="C63" s="0" t="s">
        <v>345</v>
      </c>
      <c r="D63" s="0" t="n">
        <v>13</v>
      </c>
      <c r="E63" s="0" t="n">
        <v>24</v>
      </c>
      <c r="F63" s="0" t="n">
        <v>1</v>
      </c>
      <c r="G63" s="0" t="s">
        <v>1482</v>
      </c>
    </row>
    <row r="64" customFormat="false" ht="15" hidden="false" customHeight="false" outlineLevel="0" collapsed="false">
      <c r="A64" s="0" t="s">
        <v>35</v>
      </c>
      <c r="B64" s="0" t="n">
        <v>25214</v>
      </c>
      <c r="C64" s="0" t="s">
        <v>1041</v>
      </c>
      <c r="D64" s="0" t="n">
        <v>31</v>
      </c>
      <c r="E64" s="0" t="n">
        <v>4</v>
      </c>
      <c r="F64" s="0" t="n">
        <v>1</v>
      </c>
      <c r="G64" s="0" t="s">
        <v>1483</v>
      </c>
    </row>
    <row r="65" customFormat="false" ht="15" hidden="false" customHeight="false" outlineLevel="0" collapsed="false">
      <c r="A65" s="0" t="s">
        <v>35</v>
      </c>
      <c r="B65" s="0" t="n">
        <v>25206</v>
      </c>
      <c r="C65" s="0" t="s">
        <v>1042</v>
      </c>
      <c r="D65" s="0" t="n">
        <v>32</v>
      </c>
      <c r="E65" s="0" t="n">
        <v>4</v>
      </c>
      <c r="F65" s="0" t="n">
        <v>0</v>
      </c>
      <c r="G65" s="0" t="s">
        <v>1484</v>
      </c>
    </row>
    <row r="66" customFormat="false" ht="15" hidden="false" customHeight="false" outlineLevel="0" collapsed="false">
      <c r="A66" s="0" t="s">
        <v>35</v>
      </c>
      <c r="B66" s="0" t="n">
        <v>25197</v>
      </c>
      <c r="C66" s="0" t="s">
        <v>1043</v>
      </c>
      <c r="D66" s="0" t="n">
        <v>22</v>
      </c>
      <c r="E66" s="0" t="n">
        <v>13</v>
      </c>
      <c r="F66" s="0" t="n">
        <v>1</v>
      </c>
      <c r="G66" s="0" t="s">
        <v>1485</v>
      </c>
    </row>
    <row r="67" customFormat="false" ht="15" hidden="false" customHeight="false" outlineLevel="0" collapsed="false">
      <c r="A67" s="0" t="s">
        <v>35</v>
      </c>
      <c r="B67" s="0" t="n">
        <v>25173</v>
      </c>
      <c r="C67" s="0" t="s">
        <v>1044</v>
      </c>
      <c r="D67" s="0" t="n">
        <v>25</v>
      </c>
      <c r="E67" s="0" t="n">
        <v>10</v>
      </c>
      <c r="F67" s="0" t="n">
        <v>1</v>
      </c>
      <c r="G67" s="0" t="s">
        <v>1486</v>
      </c>
    </row>
    <row r="68" customFormat="false" ht="15" hidden="false" customHeight="false" outlineLevel="0" collapsed="false">
      <c r="A68" s="0" t="s">
        <v>35</v>
      </c>
      <c r="B68" s="0" t="n">
        <v>25212</v>
      </c>
      <c r="C68" s="0" t="s">
        <v>1487</v>
      </c>
      <c r="D68" s="0" t="n">
        <v>25</v>
      </c>
      <c r="E68" s="0" t="n">
        <v>11</v>
      </c>
      <c r="F68" s="0" t="n">
        <v>0</v>
      </c>
      <c r="G68" s="0" t="s">
        <v>1488</v>
      </c>
    </row>
    <row r="69" customFormat="false" ht="15" hidden="false" customHeight="false" outlineLevel="0" collapsed="false">
      <c r="A69" s="0" t="s">
        <v>35</v>
      </c>
      <c r="B69" s="0" t="n">
        <v>25114</v>
      </c>
      <c r="C69" s="0" t="s">
        <v>1489</v>
      </c>
      <c r="D69" s="0" t="n">
        <v>2</v>
      </c>
      <c r="E69" s="0" t="n">
        <v>34</v>
      </c>
      <c r="F69" s="0" t="n">
        <v>0</v>
      </c>
      <c r="G69" s="0" t="s">
        <v>1490</v>
      </c>
    </row>
    <row r="70" customFormat="false" ht="15" hidden="false" customHeight="false" outlineLevel="0" collapsed="false">
      <c r="A70" s="0" t="s">
        <v>35</v>
      </c>
      <c r="B70" s="0" t="n">
        <v>25230</v>
      </c>
      <c r="C70" s="0" t="s">
        <v>1046</v>
      </c>
      <c r="D70" s="0" t="n">
        <v>9</v>
      </c>
      <c r="E70" s="0" t="n">
        <v>27</v>
      </c>
      <c r="F70" s="0" t="n">
        <v>0</v>
      </c>
      <c r="G70" s="0" t="s">
        <v>1491</v>
      </c>
    </row>
    <row r="71" customFormat="false" ht="15" hidden="false" customHeight="false" outlineLevel="0" collapsed="false">
      <c r="A71" s="0" t="s">
        <v>35</v>
      </c>
      <c r="B71" s="0" t="n">
        <v>26296</v>
      </c>
      <c r="C71" s="0" t="s">
        <v>1048</v>
      </c>
      <c r="D71" s="0" t="n">
        <v>19</v>
      </c>
      <c r="E71" s="0" t="n">
        <v>14</v>
      </c>
      <c r="F71" s="0" t="n">
        <v>3</v>
      </c>
      <c r="G71" s="0" t="s">
        <v>1492</v>
      </c>
    </row>
    <row r="72" customFormat="false" ht="15" hidden="false" customHeight="false" outlineLevel="0" collapsed="false">
      <c r="A72" s="0" t="s">
        <v>35</v>
      </c>
      <c r="B72" s="0" t="n">
        <v>26206</v>
      </c>
      <c r="C72" s="0" t="s">
        <v>1493</v>
      </c>
      <c r="D72" s="0" t="n">
        <v>27</v>
      </c>
      <c r="E72" s="0" t="n">
        <v>6</v>
      </c>
      <c r="F72" s="0" t="n">
        <v>1</v>
      </c>
      <c r="G72" s="0" t="s">
        <v>1494</v>
      </c>
    </row>
    <row r="73" customFormat="false" ht="15" hidden="false" customHeight="false" outlineLevel="0" collapsed="false">
      <c r="A73" s="0" t="s">
        <v>35</v>
      </c>
      <c r="B73" s="0" t="n">
        <v>26290</v>
      </c>
      <c r="C73" s="0" t="s">
        <v>1051</v>
      </c>
      <c r="D73" s="0" t="n">
        <v>18</v>
      </c>
      <c r="E73" s="0" t="n">
        <v>12</v>
      </c>
      <c r="F73" s="0" t="n">
        <v>1</v>
      </c>
      <c r="G73" s="0" t="s">
        <v>1495</v>
      </c>
    </row>
    <row r="74" customFormat="false" ht="15" hidden="false" customHeight="false" outlineLevel="0" collapsed="false">
      <c r="A74" s="0" t="s">
        <v>35</v>
      </c>
      <c r="B74" s="0" t="n">
        <v>25110</v>
      </c>
      <c r="C74" s="0" t="s">
        <v>1055</v>
      </c>
      <c r="D74" s="0" t="n">
        <v>16</v>
      </c>
      <c r="E74" s="0" t="n">
        <v>10</v>
      </c>
      <c r="F74" s="0" t="n">
        <v>1</v>
      </c>
      <c r="G74" s="0" t="s">
        <v>1496</v>
      </c>
    </row>
    <row r="75" customFormat="false" ht="15" hidden="false" customHeight="false" outlineLevel="0" collapsed="false">
      <c r="A75" s="0" t="s">
        <v>35</v>
      </c>
      <c r="B75" s="0" t="n">
        <v>25127</v>
      </c>
      <c r="C75" s="0" t="s">
        <v>578</v>
      </c>
      <c r="D75" s="0" t="n">
        <v>26</v>
      </c>
      <c r="E75" s="0" t="n">
        <v>3</v>
      </c>
      <c r="F75" s="0" t="n">
        <v>0</v>
      </c>
      <c r="G75" s="0" t="s">
        <v>1497</v>
      </c>
    </row>
    <row r="76" customFormat="false" ht="15" hidden="false" customHeight="false" outlineLevel="0" collapsed="false">
      <c r="A76" s="0" t="s">
        <v>35</v>
      </c>
      <c r="C76" s="0" t="s">
        <v>1498</v>
      </c>
      <c r="D76" s="0" t="n">
        <v>19</v>
      </c>
      <c r="E76" s="0" t="n">
        <v>7</v>
      </c>
      <c r="F76" s="0" t="n">
        <v>0</v>
      </c>
      <c r="G76" s="0" t="s">
        <v>1499</v>
      </c>
    </row>
    <row r="77" customFormat="false" ht="15" hidden="false" customHeight="false" outlineLevel="0" collapsed="false">
      <c r="A77" s="0" t="s">
        <v>35</v>
      </c>
      <c r="B77" s="0" t="n">
        <v>173</v>
      </c>
      <c r="C77" s="0" t="s">
        <v>310</v>
      </c>
      <c r="D77" s="0" t="n">
        <v>10</v>
      </c>
      <c r="E77" s="0" t="n">
        <v>19</v>
      </c>
      <c r="F77" s="0" t="n">
        <v>0</v>
      </c>
      <c r="G77" s="0" t="s">
        <v>1500</v>
      </c>
    </row>
    <row r="78" customFormat="false" ht="15" hidden="false" customHeight="false" outlineLevel="0" collapsed="false">
      <c r="A78" s="0" t="s">
        <v>35</v>
      </c>
      <c r="C78" s="0" t="s">
        <v>834</v>
      </c>
      <c r="D78" s="0" t="n">
        <v>9</v>
      </c>
      <c r="E78" s="0" t="n">
        <v>17</v>
      </c>
      <c r="F78" s="0" t="n">
        <v>0</v>
      </c>
      <c r="G78" s="0" t="s">
        <v>1501</v>
      </c>
    </row>
    <row r="79" customFormat="false" ht="15" hidden="false" customHeight="false" outlineLevel="0" collapsed="false">
      <c r="A79" s="0" t="s">
        <v>35</v>
      </c>
      <c r="C79" s="0" t="s">
        <v>1502</v>
      </c>
      <c r="D79" s="0" t="n">
        <v>6</v>
      </c>
      <c r="E79" s="0" t="n">
        <v>8</v>
      </c>
      <c r="F79" s="0" t="n">
        <v>0</v>
      </c>
      <c r="G79" s="0" t="s">
        <v>1503</v>
      </c>
    </row>
    <row r="80" customFormat="false" ht="15" hidden="false" customHeight="false" outlineLevel="0" collapsed="false">
      <c r="A80" s="0" t="s">
        <v>35</v>
      </c>
      <c r="C80" s="0" t="s">
        <v>1504</v>
      </c>
      <c r="D80" s="0" t="n">
        <v>7</v>
      </c>
      <c r="E80" s="0" t="n">
        <v>3</v>
      </c>
      <c r="F80" s="0" t="n">
        <v>0</v>
      </c>
      <c r="G80" s="0" t="s">
        <v>1505</v>
      </c>
    </row>
    <row r="81" customFormat="false" ht="15" hidden="false" customHeight="false" outlineLevel="0" collapsed="false">
      <c r="A81" s="0" t="s">
        <v>30</v>
      </c>
      <c r="B81" s="0" t="n">
        <v>26245</v>
      </c>
      <c r="C81" s="0" t="s">
        <v>936</v>
      </c>
      <c r="D81" s="0" t="n">
        <v>49</v>
      </c>
      <c r="E81" s="0" t="n">
        <v>6</v>
      </c>
      <c r="F81" s="0" t="n">
        <v>0</v>
      </c>
      <c r="G81" s="0" t="s">
        <v>1506</v>
      </c>
    </row>
    <row r="82" customFormat="false" ht="15" hidden="false" customHeight="false" outlineLevel="0" collapsed="false">
      <c r="A82" s="0" t="s">
        <v>30</v>
      </c>
      <c r="B82" s="0" t="n">
        <v>26242</v>
      </c>
      <c r="C82" s="0" t="s">
        <v>940</v>
      </c>
      <c r="D82" s="0" t="n">
        <v>48</v>
      </c>
      <c r="E82" s="0" t="n">
        <v>3</v>
      </c>
      <c r="F82" s="0" t="n">
        <v>4</v>
      </c>
      <c r="G82" s="0" t="s">
        <v>1507</v>
      </c>
    </row>
    <row r="83" customFormat="false" ht="15" hidden="false" customHeight="false" outlineLevel="0" collapsed="false">
      <c r="A83" s="0" t="s">
        <v>30</v>
      </c>
      <c r="B83" s="0" t="n">
        <v>26241</v>
      </c>
      <c r="C83" s="0" t="s">
        <v>943</v>
      </c>
      <c r="D83" s="0" t="n">
        <v>53</v>
      </c>
      <c r="E83" s="0" t="n">
        <v>0</v>
      </c>
      <c r="F83" s="0" t="n">
        <v>2</v>
      </c>
      <c r="G83" s="0" t="s">
        <v>1508</v>
      </c>
    </row>
    <row r="84" customFormat="false" ht="15" hidden="false" customHeight="false" outlineLevel="0" collapsed="false">
      <c r="A84" s="0" t="s">
        <v>30</v>
      </c>
      <c r="B84" s="0" t="n">
        <v>26243</v>
      </c>
      <c r="C84" s="0" t="s">
        <v>946</v>
      </c>
      <c r="D84" s="0" t="n">
        <v>38</v>
      </c>
      <c r="E84" s="0" t="n">
        <v>15</v>
      </c>
      <c r="F84" s="0" t="n">
        <v>2</v>
      </c>
      <c r="G84" s="0" t="s">
        <v>1509</v>
      </c>
    </row>
    <row r="85" customFormat="false" ht="15" hidden="false" customHeight="false" outlineLevel="0" collapsed="false">
      <c r="A85" s="0" t="s">
        <v>30</v>
      </c>
      <c r="B85" s="0" t="n">
        <v>26247</v>
      </c>
      <c r="C85" s="0" t="s">
        <v>949</v>
      </c>
      <c r="D85" s="0" t="n">
        <v>46</v>
      </c>
      <c r="E85" s="0" t="n">
        <v>7</v>
      </c>
      <c r="F85" s="0" t="n">
        <v>2</v>
      </c>
      <c r="G85" s="0" t="s">
        <v>1510</v>
      </c>
    </row>
    <row r="86" customFormat="false" ht="15" hidden="false" customHeight="false" outlineLevel="0" collapsed="false">
      <c r="A86" s="0" t="s">
        <v>30</v>
      </c>
      <c r="B86" s="0" t="n">
        <v>26248</v>
      </c>
      <c r="C86" s="0" t="s">
        <v>952</v>
      </c>
      <c r="D86" s="0" t="n">
        <v>49</v>
      </c>
      <c r="E86" s="0" t="n">
        <v>6</v>
      </c>
      <c r="F86" s="0" t="n">
        <v>0</v>
      </c>
      <c r="G86" s="0" t="s">
        <v>1511</v>
      </c>
    </row>
    <row r="87" customFormat="false" ht="15" hidden="false" customHeight="false" outlineLevel="0" collapsed="false">
      <c r="A87" s="0" t="s">
        <v>30</v>
      </c>
      <c r="B87" s="0" t="n">
        <v>26246</v>
      </c>
      <c r="C87" s="0" t="s">
        <v>955</v>
      </c>
      <c r="D87" s="0" t="n">
        <v>50</v>
      </c>
      <c r="E87" s="0" t="n">
        <v>5</v>
      </c>
      <c r="F87" s="0" t="n">
        <v>0</v>
      </c>
      <c r="G87" s="0" t="s">
        <v>1512</v>
      </c>
    </row>
    <row r="88" customFormat="false" ht="15" hidden="false" customHeight="false" outlineLevel="0" collapsed="false">
      <c r="A88" s="0" t="s">
        <v>30</v>
      </c>
      <c r="B88" s="0" t="n">
        <v>26250</v>
      </c>
      <c r="C88" s="0" t="s">
        <v>957</v>
      </c>
      <c r="D88" s="0" t="n">
        <v>35</v>
      </c>
      <c r="E88" s="0" t="n">
        <v>20</v>
      </c>
      <c r="F88" s="0" t="n">
        <v>0</v>
      </c>
      <c r="G88" s="0" t="s">
        <v>1513</v>
      </c>
    </row>
    <row r="89" customFormat="false" ht="15" hidden="false" customHeight="false" outlineLevel="0" collapsed="false">
      <c r="A89" s="0" t="s">
        <v>30</v>
      </c>
      <c r="B89" s="0" t="n">
        <v>25237</v>
      </c>
      <c r="C89" s="0" t="s">
        <v>918</v>
      </c>
      <c r="D89" s="0" t="n">
        <v>30</v>
      </c>
      <c r="E89" s="0" t="n">
        <v>8</v>
      </c>
      <c r="F89" s="0" t="n">
        <v>0</v>
      </c>
      <c r="G89" s="0" t="s">
        <v>1514</v>
      </c>
    </row>
    <row r="90" customFormat="false" ht="15" hidden="false" customHeight="false" outlineLevel="0" collapsed="false">
      <c r="A90" s="0" t="s">
        <v>30</v>
      </c>
      <c r="B90" s="0" t="n">
        <v>25225</v>
      </c>
      <c r="C90" s="0" t="s">
        <v>1515</v>
      </c>
      <c r="D90" s="0" t="n">
        <v>31</v>
      </c>
      <c r="E90" s="0" t="n">
        <v>7</v>
      </c>
      <c r="F90" s="0" t="n">
        <v>2</v>
      </c>
      <c r="G90" s="0" t="s">
        <v>1516</v>
      </c>
    </row>
    <row r="91" customFormat="false" ht="15" hidden="false" customHeight="false" outlineLevel="0" collapsed="false">
      <c r="A91" s="0" t="s">
        <v>30</v>
      </c>
      <c r="B91" s="0" t="n">
        <v>26302</v>
      </c>
      <c r="C91" s="0" t="s">
        <v>967</v>
      </c>
      <c r="D91" s="0" t="n">
        <v>32</v>
      </c>
      <c r="E91" s="0" t="n">
        <v>3</v>
      </c>
      <c r="F91" s="0" t="n">
        <v>3</v>
      </c>
      <c r="G91" s="0" t="s">
        <v>1517</v>
      </c>
    </row>
    <row r="92" customFormat="false" ht="15" hidden="false" customHeight="false" outlineLevel="0" collapsed="false">
      <c r="A92" s="0" t="s">
        <v>30</v>
      </c>
      <c r="B92" s="0" t="n">
        <v>25227</v>
      </c>
      <c r="C92" s="0" t="s">
        <v>1518</v>
      </c>
      <c r="D92" s="0" t="n">
        <v>27</v>
      </c>
      <c r="E92" s="0" t="n">
        <v>9</v>
      </c>
      <c r="F92" s="0" t="n">
        <v>2</v>
      </c>
      <c r="G92" s="0" t="s">
        <v>1519</v>
      </c>
    </row>
    <row r="93" customFormat="false" ht="15" hidden="false" customHeight="false" outlineLevel="0" collapsed="false">
      <c r="A93" s="0" t="s">
        <v>30</v>
      </c>
      <c r="B93" s="0" t="n">
        <v>25222</v>
      </c>
      <c r="C93" s="0" t="s">
        <v>1520</v>
      </c>
      <c r="D93" s="0" t="n">
        <v>10</v>
      </c>
      <c r="E93" s="0" t="n">
        <v>21</v>
      </c>
      <c r="F93" s="0" t="n">
        <v>0</v>
      </c>
      <c r="G93" s="0" t="s">
        <v>1521</v>
      </c>
    </row>
    <row r="94" customFormat="false" ht="15" hidden="false" customHeight="false" outlineLevel="0" collapsed="false">
      <c r="A94" s="0" t="s">
        <v>30</v>
      </c>
      <c r="B94" s="0" t="n">
        <v>26279</v>
      </c>
      <c r="C94" s="0" t="s">
        <v>1428</v>
      </c>
      <c r="D94" s="0" t="n">
        <v>21</v>
      </c>
      <c r="E94" s="0" t="n">
        <v>10</v>
      </c>
      <c r="F94" s="0" t="n">
        <v>0</v>
      </c>
      <c r="G94" s="0" t="s">
        <v>1522</v>
      </c>
    </row>
    <row r="95" customFormat="false" ht="15" hidden="false" customHeight="false" outlineLevel="0" collapsed="false">
      <c r="A95" s="0" t="s">
        <v>30</v>
      </c>
      <c r="B95" s="0" t="n">
        <v>25234</v>
      </c>
      <c r="C95" s="0" t="s">
        <v>1523</v>
      </c>
      <c r="D95" s="0" t="n">
        <v>24</v>
      </c>
      <c r="E95" s="0" t="n">
        <v>9</v>
      </c>
      <c r="F95" s="0" t="n">
        <v>0</v>
      </c>
      <c r="G95" s="0" t="s">
        <v>1524</v>
      </c>
    </row>
    <row r="96" customFormat="false" ht="15" hidden="false" customHeight="false" outlineLevel="0" collapsed="false">
      <c r="A96" s="0" t="s">
        <v>30</v>
      </c>
      <c r="B96" s="0" t="n">
        <v>26311</v>
      </c>
      <c r="C96" s="0" t="s">
        <v>970</v>
      </c>
      <c r="D96" s="0" t="n">
        <v>15</v>
      </c>
      <c r="E96" s="0" t="n">
        <v>3</v>
      </c>
      <c r="F96" s="0" t="n">
        <v>0</v>
      </c>
      <c r="G96" s="0" t="s">
        <v>1525</v>
      </c>
    </row>
    <row r="97" customFormat="false" ht="15" hidden="false" customHeight="false" outlineLevel="0" collapsed="false">
      <c r="A97" s="0" t="s">
        <v>32</v>
      </c>
      <c r="B97" s="0" t="n">
        <v>26254</v>
      </c>
      <c r="C97" s="0" t="s">
        <v>1526</v>
      </c>
      <c r="D97" s="0" t="n">
        <v>34</v>
      </c>
      <c r="E97" s="0" t="n">
        <v>26</v>
      </c>
      <c r="F97" s="0" t="n">
        <v>1</v>
      </c>
      <c r="G97" s="0" t="s">
        <v>1527</v>
      </c>
    </row>
    <row r="98" customFormat="false" ht="15" hidden="false" customHeight="false" outlineLevel="0" collapsed="false">
      <c r="A98" s="0" t="s">
        <v>32</v>
      </c>
      <c r="B98" s="0" t="n">
        <v>26255</v>
      </c>
      <c r="C98" s="0" t="s">
        <v>1528</v>
      </c>
      <c r="D98" s="0" t="n">
        <v>34</v>
      </c>
      <c r="E98" s="0" t="n">
        <v>26</v>
      </c>
      <c r="F98" s="0" t="n">
        <v>1</v>
      </c>
      <c r="G98" s="0" t="s">
        <v>1529</v>
      </c>
    </row>
    <row r="99" customFormat="false" ht="15" hidden="false" customHeight="false" outlineLevel="0" collapsed="false">
      <c r="A99" s="0" t="s">
        <v>32</v>
      </c>
      <c r="B99" s="0" t="n">
        <v>26256</v>
      </c>
      <c r="C99" s="0" t="s">
        <v>1530</v>
      </c>
      <c r="D99" s="0" t="n">
        <v>20</v>
      </c>
      <c r="E99" s="0" t="n">
        <v>41</v>
      </c>
      <c r="F99" s="0" t="n">
        <v>0</v>
      </c>
      <c r="G99" s="0" t="s">
        <v>1531</v>
      </c>
    </row>
    <row r="100" customFormat="false" ht="15" hidden="false" customHeight="false" outlineLevel="0" collapsed="false">
      <c r="A100" s="0" t="s">
        <v>32</v>
      </c>
      <c r="B100" s="0" t="n">
        <v>26266</v>
      </c>
      <c r="C100" s="0" t="s">
        <v>675</v>
      </c>
      <c r="D100" s="0" t="n">
        <v>59</v>
      </c>
      <c r="E100" s="0" t="n">
        <v>1</v>
      </c>
      <c r="F100" s="0" t="n">
        <v>0</v>
      </c>
      <c r="G100" s="0" t="s">
        <v>1532</v>
      </c>
    </row>
    <row r="101" customFormat="false" ht="15" hidden="false" customHeight="false" outlineLevel="0" collapsed="false">
      <c r="A101" s="0" t="s">
        <v>32</v>
      </c>
      <c r="B101" s="0" t="n">
        <v>26257</v>
      </c>
      <c r="C101" s="0" t="s">
        <v>1533</v>
      </c>
      <c r="D101" s="0" t="n">
        <v>51</v>
      </c>
      <c r="E101" s="0" t="n">
        <v>6</v>
      </c>
      <c r="F101" s="0" t="n">
        <v>3</v>
      </c>
      <c r="G101" s="0" t="s">
        <v>1534</v>
      </c>
    </row>
    <row r="102" customFormat="false" ht="15" hidden="false" customHeight="false" outlineLevel="0" collapsed="false">
      <c r="A102" s="0" t="s">
        <v>32</v>
      </c>
      <c r="B102" s="0" t="n">
        <v>26258</v>
      </c>
      <c r="C102" s="0" t="s">
        <v>1535</v>
      </c>
      <c r="D102" s="0" t="n">
        <v>57</v>
      </c>
      <c r="E102" s="0" t="n">
        <v>1</v>
      </c>
      <c r="F102" s="0" t="n">
        <v>2</v>
      </c>
      <c r="G102" s="0" t="s">
        <v>1536</v>
      </c>
    </row>
    <row r="103" customFormat="false" ht="15" hidden="false" customHeight="false" outlineLevel="0" collapsed="false">
      <c r="A103" s="0" t="s">
        <v>32</v>
      </c>
      <c r="B103" s="0" t="n">
        <v>26273</v>
      </c>
      <c r="C103" s="0" t="s">
        <v>1537</v>
      </c>
      <c r="D103" s="0" t="n">
        <v>55</v>
      </c>
      <c r="E103" s="0" t="n">
        <v>4</v>
      </c>
      <c r="F103" s="0" t="n">
        <v>1</v>
      </c>
      <c r="G103" s="0" t="s">
        <v>1538</v>
      </c>
    </row>
    <row r="104" customFormat="false" ht="15" hidden="false" customHeight="false" outlineLevel="0" collapsed="false">
      <c r="A104" s="0" t="s">
        <v>32</v>
      </c>
      <c r="B104" s="0" t="n">
        <v>26259</v>
      </c>
      <c r="C104" s="0" t="s">
        <v>1539</v>
      </c>
      <c r="D104" s="0" t="n">
        <v>43</v>
      </c>
      <c r="E104" s="0" t="n">
        <v>13</v>
      </c>
      <c r="F104" s="0" t="n">
        <v>2</v>
      </c>
      <c r="G104" s="0" t="s">
        <v>1540</v>
      </c>
    </row>
    <row r="105" customFormat="false" ht="15" hidden="false" customHeight="false" outlineLevel="0" collapsed="false">
      <c r="A105" s="0" t="s">
        <v>32</v>
      </c>
      <c r="B105" s="0" t="n">
        <v>26261</v>
      </c>
      <c r="C105" s="0" t="s">
        <v>1541</v>
      </c>
      <c r="D105" s="0" t="n">
        <v>34</v>
      </c>
      <c r="E105" s="0" t="n">
        <v>23</v>
      </c>
      <c r="F105" s="0" t="n">
        <v>3</v>
      </c>
      <c r="G105" s="0" t="s">
        <v>1542</v>
      </c>
    </row>
    <row r="106" customFormat="false" ht="15" hidden="false" customHeight="false" outlineLevel="0" collapsed="false">
      <c r="A106" s="0" t="s">
        <v>32</v>
      </c>
      <c r="B106" s="0" t="n">
        <v>26262</v>
      </c>
      <c r="C106" s="0" t="s">
        <v>1543</v>
      </c>
      <c r="D106" s="0" t="n">
        <v>47</v>
      </c>
      <c r="E106" s="0" t="n">
        <v>10</v>
      </c>
      <c r="F106" s="0" t="n">
        <v>3</v>
      </c>
      <c r="G106" s="0" t="s">
        <v>1544</v>
      </c>
    </row>
    <row r="107" customFormat="false" ht="15" hidden="false" customHeight="false" outlineLevel="0" collapsed="false">
      <c r="A107" s="0" t="s">
        <v>32</v>
      </c>
      <c r="B107" s="0" t="n">
        <v>26267</v>
      </c>
      <c r="C107" s="0" t="s">
        <v>1545</v>
      </c>
      <c r="D107" s="0" t="n">
        <v>21</v>
      </c>
      <c r="E107" s="0" t="n">
        <v>39</v>
      </c>
      <c r="F107" s="0" t="n">
        <v>0</v>
      </c>
      <c r="G107" s="0" t="s">
        <v>1546</v>
      </c>
    </row>
    <row r="108" customFormat="false" ht="15" hidden="false" customHeight="false" outlineLevel="0" collapsed="false">
      <c r="A108" s="0" t="s">
        <v>32</v>
      </c>
      <c r="B108" s="0" t="n">
        <v>26263</v>
      </c>
      <c r="C108" s="0" t="s">
        <v>1547</v>
      </c>
      <c r="D108" s="0" t="n">
        <v>27</v>
      </c>
      <c r="E108" s="0" t="n">
        <v>33</v>
      </c>
      <c r="F108" s="0" t="n">
        <v>0</v>
      </c>
      <c r="G108" s="0" t="s">
        <v>1548</v>
      </c>
    </row>
    <row r="109" customFormat="false" ht="15" hidden="false" customHeight="false" outlineLevel="0" collapsed="false">
      <c r="A109" s="0" t="s">
        <v>32</v>
      </c>
      <c r="B109" s="0" t="n">
        <v>26268</v>
      </c>
      <c r="C109" s="0" t="s">
        <v>1549</v>
      </c>
      <c r="D109" s="0" t="n">
        <v>20</v>
      </c>
      <c r="E109" s="0" t="n">
        <v>40</v>
      </c>
      <c r="F109" s="0" t="n">
        <v>0</v>
      </c>
      <c r="G109" s="0" t="s">
        <v>1550</v>
      </c>
    </row>
    <row r="110" customFormat="false" ht="15" hidden="false" customHeight="false" outlineLevel="0" collapsed="false">
      <c r="A110" s="0" t="s">
        <v>32</v>
      </c>
      <c r="B110" s="0" t="n">
        <v>26265</v>
      </c>
      <c r="C110" s="0" t="s">
        <v>1551</v>
      </c>
      <c r="D110" s="0" t="n">
        <v>45</v>
      </c>
      <c r="E110" s="0" t="n">
        <v>14</v>
      </c>
      <c r="F110" s="0" t="n">
        <v>1</v>
      </c>
      <c r="G110" s="0" t="s">
        <v>1552</v>
      </c>
    </row>
    <row r="111" customFormat="false" ht="15" hidden="false" customHeight="false" outlineLevel="0" collapsed="false">
      <c r="A111" s="0" t="s">
        <v>32</v>
      </c>
      <c r="B111" s="0" t="n">
        <v>26276</v>
      </c>
      <c r="C111" s="0" t="s">
        <v>1553</v>
      </c>
      <c r="D111" s="0" t="n">
        <v>41</v>
      </c>
      <c r="E111" s="0" t="n">
        <v>16</v>
      </c>
      <c r="F111" s="0" t="n">
        <v>3</v>
      </c>
      <c r="G111" s="0" t="s">
        <v>1554</v>
      </c>
    </row>
    <row r="112" customFormat="false" ht="15" hidden="false" customHeight="false" outlineLevel="0" collapsed="false">
      <c r="A112" s="0" t="s">
        <v>32</v>
      </c>
      <c r="B112" s="0" t="n">
        <v>26274</v>
      </c>
      <c r="C112" s="0" t="s">
        <v>1555</v>
      </c>
      <c r="D112" s="0" t="n">
        <v>46</v>
      </c>
      <c r="E112" s="0" t="n">
        <v>6</v>
      </c>
      <c r="F112" s="0" t="n">
        <v>0</v>
      </c>
      <c r="G112" s="0" t="s">
        <v>1556</v>
      </c>
    </row>
    <row r="113" customFormat="false" ht="15" hidden="false" customHeight="false" outlineLevel="0" collapsed="false">
      <c r="A113" s="0" t="s">
        <v>32</v>
      </c>
      <c r="B113" s="0" t="n">
        <v>26239</v>
      </c>
      <c r="C113" s="0" t="s">
        <v>1557</v>
      </c>
      <c r="D113" s="0" t="n">
        <v>49</v>
      </c>
      <c r="E113" s="0" t="n">
        <v>9</v>
      </c>
      <c r="F113" s="0" t="n">
        <v>2</v>
      </c>
      <c r="G113" s="0" t="s">
        <v>1558</v>
      </c>
    </row>
    <row r="114" customFormat="false" ht="15" hidden="false" customHeight="false" outlineLevel="0" collapsed="false">
      <c r="A114" s="0" t="s">
        <v>32</v>
      </c>
      <c r="B114" s="0" t="n">
        <v>26264</v>
      </c>
      <c r="C114" s="0" t="s">
        <v>1559</v>
      </c>
      <c r="D114" s="0" t="n">
        <v>20</v>
      </c>
      <c r="E114" s="0" t="n">
        <v>19</v>
      </c>
      <c r="F114" s="0" t="n">
        <v>0</v>
      </c>
      <c r="G114" s="0" t="s">
        <v>1560</v>
      </c>
    </row>
    <row r="115" customFormat="false" ht="15" hidden="false" customHeight="false" outlineLevel="0" collapsed="false">
      <c r="A115" s="0" t="s">
        <v>32</v>
      </c>
      <c r="B115" s="0" t="n">
        <v>26269</v>
      </c>
      <c r="C115" s="0" t="s">
        <v>1561</v>
      </c>
      <c r="D115" s="0" t="n">
        <v>21</v>
      </c>
      <c r="E115" s="0" t="n">
        <v>17</v>
      </c>
      <c r="F115" s="0" t="n">
        <v>1</v>
      </c>
      <c r="G115" s="0" t="s">
        <v>1562</v>
      </c>
    </row>
    <row r="116" customFormat="false" ht="15" hidden="false" customHeight="false" outlineLevel="0" collapsed="false">
      <c r="A116" s="0" t="s">
        <v>32</v>
      </c>
      <c r="B116" s="0" t="n">
        <v>26272</v>
      </c>
      <c r="C116" s="0" t="s">
        <v>1563</v>
      </c>
      <c r="D116" s="0" t="n">
        <v>59</v>
      </c>
      <c r="E116" s="0" t="n">
        <v>1</v>
      </c>
      <c r="F116" s="0" t="n">
        <v>0</v>
      </c>
      <c r="G116" s="0" t="s">
        <v>1564</v>
      </c>
    </row>
    <row r="117" customFormat="false" ht="15" hidden="false" customHeight="false" outlineLevel="0" collapsed="false">
      <c r="A117" s="0" t="s">
        <v>32</v>
      </c>
      <c r="B117" s="0" t="n">
        <v>26251</v>
      </c>
      <c r="C117" s="0" t="s">
        <v>1565</v>
      </c>
      <c r="D117" s="0" t="n">
        <v>39</v>
      </c>
      <c r="E117" s="0" t="n">
        <v>0</v>
      </c>
      <c r="F117" s="0" t="n">
        <v>0</v>
      </c>
      <c r="G117" s="0" t="s">
        <v>1566</v>
      </c>
    </row>
    <row r="118" customFormat="false" ht="15" hidden="false" customHeight="false" outlineLevel="0" collapsed="false">
      <c r="A118" s="0" t="s">
        <v>32</v>
      </c>
      <c r="B118" s="0" t="n">
        <v>26322</v>
      </c>
      <c r="C118" s="0" t="s">
        <v>1567</v>
      </c>
      <c r="D118" s="0" t="n">
        <v>19</v>
      </c>
      <c r="E118" s="0" t="n">
        <v>14</v>
      </c>
      <c r="F118" s="0" t="n">
        <v>0</v>
      </c>
      <c r="G118" s="0" t="s">
        <v>1568</v>
      </c>
    </row>
    <row r="119" customFormat="false" ht="15" hidden="false" customHeight="false" outlineLevel="0" collapsed="false">
      <c r="A119" s="0" t="s">
        <v>32</v>
      </c>
      <c r="C119" s="0" t="s">
        <v>1569</v>
      </c>
      <c r="D119" s="0" t="n">
        <v>26</v>
      </c>
      <c r="E119" s="0" t="n">
        <v>8</v>
      </c>
      <c r="F119" s="0" t="n">
        <v>0</v>
      </c>
      <c r="G119" s="0" t="s">
        <v>1570</v>
      </c>
    </row>
    <row r="120" customFormat="false" ht="15" hidden="false" customHeight="false" outlineLevel="0" collapsed="false">
      <c r="A120" s="0" t="s">
        <v>36</v>
      </c>
      <c r="B120" s="0" t="n">
        <v>26275</v>
      </c>
      <c r="C120" s="0" t="s">
        <v>1571</v>
      </c>
      <c r="D120" s="0" t="n">
        <v>31</v>
      </c>
      <c r="E120" s="0" t="n">
        <v>13</v>
      </c>
      <c r="F120" s="0" t="n">
        <v>2</v>
      </c>
      <c r="G120" s="0" t="s">
        <v>1572</v>
      </c>
    </row>
    <row r="121" customFormat="false" ht="15" hidden="false" customHeight="false" outlineLevel="0" collapsed="false">
      <c r="A121" s="0" t="s">
        <v>36</v>
      </c>
      <c r="B121" s="0" t="n">
        <v>26309</v>
      </c>
      <c r="C121" s="0" t="s">
        <v>1573</v>
      </c>
      <c r="D121" s="0" t="n">
        <v>39</v>
      </c>
      <c r="E121" s="0" t="n">
        <v>7</v>
      </c>
      <c r="F121" s="0" t="n">
        <v>0</v>
      </c>
      <c r="G121" s="0" t="s">
        <v>1574</v>
      </c>
    </row>
    <row r="122" customFormat="false" ht="15" hidden="false" customHeight="false" outlineLevel="0" collapsed="false">
      <c r="A122" s="0" t="s">
        <v>36</v>
      </c>
      <c r="B122" s="0" t="n">
        <v>26270</v>
      </c>
      <c r="C122" s="0" t="s">
        <v>1575</v>
      </c>
      <c r="D122" s="0" t="n">
        <v>42</v>
      </c>
      <c r="E122" s="0" t="n">
        <v>4</v>
      </c>
      <c r="F122" s="0" t="n">
        <v>0</v>
      </c>
      <c r="G122" s="0" t="s">
        <v>1576</v>
      </c>
    </row>
    <row r="123" customFormat="false" ht="15" hidden="false" customHeight="false" outlineLevel="0" collapsed="false">
      <c r="A123" s="0" t="s">
        <v>36</v>
      </c>
      <c r="B123" s="0" t="n">
        <v>26271</v>
      </c>
      <c r="C123" s="0" t="s">
        <v>1577</v>
      </c>
      <c r="D123" s="0" t="n">
        <v>42</v>
      </c>
      <c r="E123" s="0" t="n">
        <v>4</v>
      </c>
      <c r="F123" s="0" t="n">
        <v>0</v>
      </c>
      <c r="G123" s="0" t="s">
        <v>1578</v>
      </c>
    </row>
    <row r="124" customFormat="false" ht="15" hidden="false" customHeight="false" outlineLevel="0" collapsed="false">
      <c r="A124" s="0" t="s">
        <v>36</v>
      </c>
      <c r="B124" s="0" t="n">
        <v>26278</v>
      </c>
      <c r="C124" s="0" t="s">
        <v>1579</v>
      </c>
      <c r="D124" s="0" t="n">
        <v>13</v>
      </c>
      <c r="E124" s="0" t="n">
        <v>33</v>
      </c>
      <c r="F124" s="0" t="n">
        <v>0</v>
      </c>
      <c r="G124" s="0" t="s">
        <v>1580</v>
      </c>
    </row>
    <row r="125" customFormat="false" ht="15" hidden="false" customHeight="false" outlineLevel="0" collapsed="false">
      <c r="A125" s="0" t="s">
        <v>36</v>
      </c>
      <c r="B125" s="0" t="n">
        <v>25189</v>
      </c>
      <c r="C125" s="0" t="s">
        <v>830</v>
      </c>
      <c r="D125" s="0" t="n">
        <v>14</v>
      </c>
      <c r="E125" s="0" t="n">
        <v>32</v>
      </c>
      <c r="F125" s="0" t="n">
        <v>0</v>
      </c>
      <c r="G125" s="0" t="s">
        <v>1581</v>
      </c>
    </row>
    <row r="126" customFormat="false" ht="15" hidden="false" customHeight="false" outlineLevel="0" collapsed="false">
      <c r="A126" s="0" t="s">
        <v>36</v>
      </c>
      <c r="B126" s="0" t="n">
        <v>26280</v>
      </c>
      <c r="C126" s="0" t="s">
        <v>1582</v>
      </c>
      <c r="D126" s="0" t="n">
        <v>27</v>
      </c>
      <c r="E126" s="0" t="n">
        <v>19</v>
      </c>
      <c r="F126" s="0" t="n">
        <v>0</v>
      </c>
      <c r="G126" s="0" t="s">
        <v>1583</v>
      </c>
    </row>
    <row r="127" customFormat="false" ht="15" hidden="false" customHeight="false" outlineLevel="0" collapsed="false">
      <c r="A127" s="0" t="s">
        <v>36</v>
      </c>
      <c r="B127" s="0" t="n">
        <v>26281</v>
      </c>
      <c r="C127" s="0" t="s">
        <v>901</v>
      </c>
      <c r="D127" s="0" t="n">
        <v>25</v>
      </c>
      <c r="E127" s="0" t="n">
        <v>21</v>
      </c>
      <c r="F127" s="0" t="n">
        <v>0</v>
      </c>
      <c r="G127" s="0" t="s">
        <v>1584</v>
      </c>
    </row>
    <row r="128" customFormat="false" ht="15" hidden="false" customHeight="false" outlineLevel="0" collapsed="false">
      <c r="A128" s="0" t="s">
        <v>36</v>
      </c>
      <c r="B128" s="0" t="n">
        <v>26282</v>
      </c>
      <c r="C128" s="0" t="s">
        <v>1585</v>
      </c>
      <c r="D128" s="0" t="n">
        <v>21</v>
      </c>
      <c r="E128" s="0" t="n">
        <v>25</v>
      </c>
      <c r="F128" s="0" t="n">
        <v>0</v>
      </c>
      <c r="G128" s="0" t="s">
        <v>1586</v>
      </c>
    </row>
    <row r="129" customFormat="false" ht="15" hidden="false" customHeight="false" outlineLevel="0" collapsed="false">
      <c r="A129" s="0" t="s">
        <v>36</v>
      </c>
      <c r="B129" s="0" t="n">
        <v>26283</v>
      </c>
      <c r="C129" s="0" t="s">
        <v>1587</v>
      </c>
      <c r="D129" s="0" t="n">
        <v>20</v>
      </c>
      <c r="E129" s="0" t="n">
        <v>26</v>
      </c>
      <c r="F129" s="0" t="n">
        <v>0</v>
      </c>
      <c r="G129" s="0" t="s">
        <v>1588</v>
      </c>
    </row>
    <row r="130" customFormat="false" ht="15" hidden="false" customHeight="false" outlineLevel="0" collapsed="false">
      <c r="A130" s="0" t="s">
        <v>36</v>
      </c>
      <c r="B130" s="0" t="n">
        <v>26324</v>
      </c>
      <c r="C130" s="0" t="s">
        <v>1589</v>
      </c>
      <c r="D130" s="0" t="n">
        <v>14</v>
      </c>
      <c r="E130" s="0" t="n">
        <v>27</v>
      </c>
      <c r="F130" s="0" t="n">
        <v>2</v>
      </c>
      <c r="G130" s="0" t="s">
        <v>1590</v>
      </c>
    </row>
    <row r="131" customFormat="false" ht="15" hidden="false" customHeight="false" outlineLevel="0" collapsed="false">
      <c r="A131" s="0" t="s">
        <v>36</v>
      </c>
      <c r="B131" s="0" t="n">
        <v>26285</v>
      </c>
      <c r="C131" s="0" t="s">
        <v>1591</v>
      </c>
      <c r="D131" s="0" t="n">
        <v>33</v>
      </c>
      <c r="E131" s="0" t="n">
        <v>13</v>
      </c>
      <c r="F131" s="0" t="n">
        <v>0</v>
      </c>
      <c r="G131" s="0" t="s">
        <v>1592</v>
      </c>
    </row>
    <row r="132" customFormat="false" ht="15" hidden="false" customHeight="false" outlineLevel="0" collapsed="false">
      <c r="A132" s="0" t="s">
        <v>36</v>
      </c>
      <c r="B132" s="0" t="n">
        <v>26292</v>
      </c>
      <c r="C132" s="0" t="s">
        <v>1593</v>
      </c>
      <c r="D132" s="0" t="n">
        <v>35</v>
      </c>
      <c r="E132" s="0" t="n">
        <v>10</v>
      </c>
      <c r="F132" s="0" t="n">
        <v>1</v>
      </c>
      <c r="G132" s="0" t="s">
        <v>1594</v>
      </c>
    </row>
    <row r="133" customFormat="false" ht="15" hidden="false" customHeight="false" outlineLevel="0" collapsed="false">
      <c r="A133" s="0" t="s">
        <v>36</v>
      </c>
      <c r="B133" s="0" t="n">
        <v>26289</v>
      </c>
      <c r="C133" s="0" t="s">
        <v>1595</v>
      </c>
      <c r="D133" s="0" t="n">
        <v>43</v>
      </c>
      <c r="E133" s="0" t="n">
        <v>2</v>
      </c>
      <c r="F133" s="0" t="n">
        <v>1</v>
      </c>
      <c r="G133" s="0" t="s">
        <v>1596</v>
      </c>
    </row>
    <row r="134" customFormat="false" ht="15" hidden="false" customHeight="false" outlineLevel="0" collapsed="false">
      <c r="A134" s="0" t="s">
        <v>36</v>
      </c>
      <c r="B134" s="0" t="n">
        <v>26314</v>
      </c>
      <c r="C134" s="0" t="s">
        <v>1597</v>
      </c>
      <c r="D134" s="0" t="n">
        <v>28</v>
      </c>
      <c r="E134" s="0" t="n">
        <v>5</v>
      </c>
      <c r="F134" s="0" t="n">
        <v>0</v>
      </c>
      <c r="G134" s="0" t="s">
        <v>1598</v>
      </c>
    </row>
    <row r="135" customFormat="false" ht="15" hidden="false" customHeight="false" outlineLevel="0" collapsed="false">
      <c r="A135" s="0" t="s">
        <v>36</v>
      </c>
      <c r="B135" s="0" t="n">
        <v>26284</v>
      </c>
      <c r="C135" s="0" t="s">
        <v>1599</v>
      </c>
      <c r="D135" s="0" t="n">
        <v>26</v>
      </c>
      <c r="E135" s="0" t="n">
        <v>19</v>
      </c>
      <c r="F135" s="0" t="n">
        <v>1</v>
      </c>
      <c r="G135" s="0" t="s">
        <v>1600</v>
      </c>
    </row>
    <row r="136" customFormat="false" ht="15" hidden="false" customHeight="false" outlineLevel="0" collapsed="false">
      <c r="A136" s="0" t="s">
        <v>36</v>
      </c>
      <c r="B136" s="0" t="n">
        <v>25126</v>
      </c>
      <c r="C136" s="0" t="s">
        <v>669</v>
      </c>
      <c r="D136" s="0" t="n">
        <v>16</v>
      </c>
      <c r="E136" s="0" t="n">
        <v>15</v>
      </c>
      <c r="F136" s="0" t="n">
        <v>0</v>
      </c>
      <c r="G136" s="0" t="s">
        <v>1601</v>
      </c>
    </row>
    <row r="137" customFormat="false" ht="15" hidden="false" customHeight="false" outlineLevel="0" collapsed="false">
      <c r="A137" s="0" t="s">
        <v>38</v>
      </c>
      <c r="B137" s="0" t="n">
        <v>26298</v>
      </c>
      <c r="C137" s="0" t="s">
        <v>1602</v>
      </c>
      <c r="D137" s="0" t="n">
        <v>34</v>
      </c>
      <c r="E137" s="0" t="n">
        <v>6</v>
      </c>
      <c r="F137" s="0" t="n">
        <v>0</v>
      </c>
      <c r="G137" s="0" t="s">
        <v>1603</v>
      </c>
    </row>
    <row r="138" customFormat="false" ht="15" hidden="false" customHeight="false" outlineLevel="0" collapsed="false">
      <c r="A138" s="0" t="s">
        <v>38</v>
      </c>
      <c r="B138" s="0" t="n">
        <v>26288</v>
      </c>
      <c r="C138" s="0" t="s">
        <v>1604</v>
      </c>
      <c r="D138" s="0" t="n">
        <v>35</v>
      </c>
      <c r="E138" s="0" t="n">
        <v>2</v>
      </c>
      <c r="F138" s="0" t="n">
        <v>3</v>
      </c>
      <c r="G138" s="0" t="s">
        <v>1605</v>
      </c>
    </row>
    <row r="139" customFormat="false" ht="15" hidden="false" customHeight="false" outlineLevel="0" collapsed="false">
      <c r="A139" s="0" t="s">
        <v>38</v>
      </c>
      <c r="B139" s="0" t="n">
        <v>26287</v>
      </c>
      <c r="C139" s="0" t="s">
        <v>1606</v>
      </c>
      <c r="D139" s="0" t="n">
        <v>37</v>
      </c>
      <c r="E139" s="0" t="n">
        <v>3</v>
      </c>
      <c r="F139" s="0" t="n">
        <v>0</v>
      </c>
      <c r="G139" s="0" t="s">
        <v>1607</v>
      </c>
    </row>
    <row r="140" customFormat="false" ht="15" hidden="false" customHeight="false" outlineLevel="0" collapsed="false">
      <c r="A140" s="0" t="s">
        <v>38</v>
      </c>
      <c r="B140" s="0" t="n">
        <v>26295</v>
      </c>
      <c r="C140" s="0" t="s">
        <v>1608</v>
      </c>
      <c r="D140" s="0" t="n">
        <v>33</v>
      </c>
      <c r="E140" s="0" t="n">
        <v>5</v>
      </c>
      <c r="F140" s="0" t="n">
        <v>2</v>
      </c>
      <c r="G140" s="0" t="s">
        <v>1609</v>
      </c>
    </row>
    <row r="141" customFormat="false" ht="15" hidden="false" customHeight="false" outlineLevel="0" collapsed="false">
      <c r="A141" s="0" t="s">
        <v>38</v>
      </c>
      <c r="B141" s="0" t="n">
        <v>26253</v>
      </c>
      <c r="C141" s="0" t="s">
        <v>1610</v>
      </c>
      <c r="D141" s="0" t="n">
        <v>32</v>
      </c>
      <c r="E141" s="0" t="n">
        <v>7</v>
      </c>
      <c r="F141" s="0" t="n">
        <v>0</v>
      </c>
      <c r="G141" s="0" t="s">
        <v>1611</v>
      </c>
    </row>
    <row r="142" customFormat="false" ht="15" hidden="false" customHeight="false" outlineLevel="0" collapsed="false">
      <c r="A142" s="0" t="s">
        <v>38</v>
      </c>
      <c r="B142" s="0" t="n">
        <v>26312</v>
      </c>
      <c r="C142" s="0" t="s">
        <v>1612</v>
      </c>
      <c r="D142" s="0" t="n">
        <v>35</v>
      </c>
      <c r="E142" s="0" t="n">
        <v>3</v>
      </c>
      <c r="F142" s="0" t="n">
        <v>2</v>
      </c>
      <c r="G142" s="0" t="s">
        <v>1613</v>
      </c>
    </row>
    <row r="143" customFormat="false" ht="15" hidden="false" customHeight="false" outlineLevel="0" collapsed="false">
      <c r="A143" s="0" t="s">
        <v>38</v>
      </c>
      <c r="B143" s="0" t="n">
        <v>26300</v>
      </c>
      <c r="C143" s="0" t="s">
        <v>1614</v>
      </c>
      <c r="D143" s="0" t="n">
        <v>16</v>
      </c>
      <c r="E143" s="0" t="n">
        <v>23</v>
      </c>
      <c r="F143" s="0" t="n">
        <v>1</v>
      </c>
      <c r="G143" s="0" t="s">
        <v>1615</v>
      </c>
    </row>
    <row r="144" customFormat="false" ht="15" hidden="false" customHeight="false" outlineLevel="0" collapsed="false">
      <c r="A144" s="0" t="s">
        <v>38</v>
      </c>
      <c r="B144" s="0" t="n">
        <v>26299</v>
      </c>
      <c r="C144" s="0" t="s">
        <v>1616</v>
      </c>
      <c r="D144" s="0" t="n">
        <v>32</v>
      </c>
      <c r="E144" s="0" t="n">
        <v>5</v>
      </c>
      <c r="F144" s="0" t="n">
        <v>3</v>
      </c>
      <c r="G144" s="0" t="s">
        <v>1617</v>
      </c>
    </row>
    <row r="145" customFormat="false" ht="15" hidden="false" customHeight="false" outlineLevel="0" collapsed="false">
      <c r="A145" s="0" t="s">
        <v>38</v>
      </c>
      <c r="B145" s="0" t="n">
        <v>26304</v>
      </c>
      <c r="C145" s="0" t="s">
        <v>1618</v>
      </c>
      <c r="D145" s="0" t="n">
        <v>37</v>
      </c>
      <c r="E145" s="0" t="n">
        <v>3</v>
      </c>
      <c r="F145" s="0" t="n">
        <v>0</v>
      </c>
      <c r="G145" s="0" t="s">
        <v>1619</v>
      </c>
    </row>
    <row r="146" customFormat="false" ht="15" hidden="false" customHeight="false" outlineLevel="0" collapsed="false">
      <c r="A146" s="0" t="s">
        <v>38</v>
      </c>
      <c r="B146" s="0" t="n">
        <v>26305</v>
      </c>
      <c r="C146" s="0" t="s">
        <v>1620</v>
      </c>
      <c r="D146" s="0" t="n">
        <v>6</v>
      </c>
      <c r="E146" s="0" t="n">
        <v>30</v>
      </c>
      <c r="F146" s="0" t="n">
        <v>4</v>
      </c>
      <c r="G146" s="0" t="s">
        <v>1621</v>
      </c>
    </row>
    <row r="147" customFormat="false" ht="15" hidden="false" customHeight="false" outlineLevel="0" collapsed="false">
      <c r="A147" s="0" t="s">
        <v>38</v>
      </c>
      <c r="B147" s="0" t="n">
        <v>26313</v>
      </c>
      <c r="C147" s="0" t="s">
        <v>1622</v>
      </c>
      <c r="D147" s="0" t="n">
        <v>36</v>
      </c>
      <c r="E147" s="0" t="n">
        <v>4</v>
      </c>
      <c r="F147" s="0" t="n">
        <v>0</v>
      </c>
      <c r="G147" s="0" t="s">
        <v>1623</v>
      </c>
    </row>
    <row r="148" customFormat="false" ht="15" hidden="false" customHeight="false" outlineLevel="0" collapsed="false">
      <c r="A148" s="0" t="s">
        <v>38</v>
      </c>
      <c r="B148" s="0" t="n">
        <v>26307</v>
      </c>
      <c r="C148" s="0" t="s">
        <v>1624</v>
      </c>
      <c r="D148" s="0" t="n">
        <v>30</v>
      </c>
      <c r="E148" s="0" t="n">
        <v>10</v>
      </c>
      <c r="F148" s="0" t="n">
        <v>0</v>
      </c>
      <c r="G148" s="0" t="s">
        <v>1625</v>
      </c>
    </row>
    <row r="149" customFormat="false" ht="15" hidden="false" customHeight="false" outlineLevel="0" collapsed="false">
      <c r="A149" s="0" t="s">
        <v>38</v>
      </c>
      <c r="B149" s="0" t="n">
        <v>26308</v>
      </c>
      <c r="C149" s="0" t="s">
        <v>1626</v>
      </c>
      <c r="D149" s="0" t="n">
        <v>35</v>
      </c>
      <c r="E149" s="0" t="n">
        <v>5</v>
      </c>
      <c r="F149" s="0" t="n">
        <v>0</v>
      </c>
      <c r="G149" s="0" t="s">
        <v>1627</v>
      </c>
    </row>
    <row r="150" customFormat="false" ht="15" hidden="false" customHeight="false" outlineLevel="0" collapsed="false">
      <c r="A150" s="0" t="s">
        <v>38</v>
      </c>
      <c r="B150" s="0" t="n">
        <v>26330</v>
      </c>
      <c r="C150" s="0" t="s">
        <v>1628</v>
      </c>
      <c r="D150" s="0" t="n">
        <v>26</v>
      </c>
      <c r="E150" s="0" t="n">
        <v>4</v>
      </c>
      <c r="F150" s="0" t="n">
        <v>0</v>
      </c>
      <c r="G150" s="0" t="s">
        <v>1629</v>
      </c>
    </row>
    <row r="151" customFormat="false" ht="15" hidden="false" customHeight="false" outlineLevel="0" collapsed="false">
      <c r="A151" s="0" t="s">
        <v>38</v>
      </c>
      <c r="B151" s="0" t="n">
        <v>25126</v>
      </c>
      <c r="C151" s="0" t="s">
        <v>1630</v>
      </c>
      <c r="D151" s="0" t="n">
        <v>3</v>
      </c>
      <c r="E151" s="0" t="n">
        <v>0</v>
      </c>
      <c r="F151" s="0" t="n">
        <v>0</v>
      </c>
      <c r="G151" s="0" t="s">
        <v>1631</v>
      </c>
    </row>
    <row r="152" customFormat="false" ht="15" hidden="false" customHeight="false" outlineLevel="0" collapsed="false">
      <c r="A152" s="0" t="s">
        <v>39</v>
      </c>
      <c r="B152" s="0" t="n">
        <v>26303</v>
      </c>
      <c r="C152" s="0" t="s">
        <v>1632</v>
      </c>
      <c r="D152" s="0" t="n">
        <v>32</v>
      </c>
      <c r="E152" s="0" t="n">
        <v>1</v>
      </c>
      <c r="F152" s="0" t="n">
        <v>0</v>
      </c>
      <c r="G152" s="0" t="s">
        <v>1633</v>
      </c>
    </row>
    <row r="153" customFormat="false" ht="15" hidden="false" customHeight="false" outlineLevel="0" collapsed="false">
      <c r="A153" s="0" t="s">
        <v>39</v>
      </c>
      <c r="B153" s="0" t="n">
        <v>26317</v>
      </c>
      <c r="C153" s="0" t="s">
        <v>1634</v>
      </c>
      <c r="D153" s="0" t="n">
        <v>31</v>
      </c>
      <c r="E153" s="0" t="n">
        <v>2</v>
      </c>
      <c r="F153" s="0" t="n">
        <v>0</v>
      </c>
      <c r="G153" s="0" t="s">
        <v>1635</v>
      </c>
    </row>
    <row r="154" customFormat="false" ht="15" hidden="false" customHeight="false" outlineLevel="0" collapsed="false">
      <c r="A154" s="0" t="s">
        <v>39</v>
      </c>
      <c r="B154" s="0" t="n">
        <v>26285</v>
      </c>
      <c r="C154" s="0" t="s">
        <v>1150</v>
      </c>
      <c r="D154" s="0" t="n">
        <v>5</v>
      </c>
      <c r="E154" s="0" t="n">
        <v>28</v>
      </c>
      <c r="F154" s="0" t="n">
        <v>0</v>
      </c>
      <c r="G154" s="0" t="s">
        <v>1636</v>
      </c>
    </row>
    <row r="155" customFormat="false" ht="15" hidden="false" customHeight="false" outlineLevel="0" collapsed="false">
      <c r="A155" s="0" t="s">
        <v>39</v>
      </c>
      <c r="B155" s="0" t="n">
        <v>26315</v>
      </c>
      <c r="C155" s="0" t="s">
        <v>1637</v>
      </c>
      <c r="D155" s="0" t="n">
        <v>10</v>
      </c>
      <c r="E155" s="0" t="n">
        <v>23</v>
      </c>
      <c r="F155" s="0" t="n">
        <v>0</v>
      </c>
      <c r="G155" s="0" t="s">
        <v>1638</v>
      </c>
    </row>
    <row r="156" customFormat="false" ht="15" hidden="false" customHeight="false" outlineLevel="0" collapsed="false">
      <c r="A156" s="0" t="s">
        <v>39</v>
      </c>
      <c r="C156" s="0" t="s">
        <v>1639</v>
      </c>
      <c r="D156" s="0" t="n">
        <v>5</v>
      </c>
      <c r="E156" s="0" t="n">
        <v>28</v>
      </c>
      <c r="F156" s="0" t="n">
        <v>0</v>
      </c>
      <c r="G156" s="0" t="s">
        <v>1640</v>
      </c>
    </row>
    <row r="157" customFormat="false" ht="15" hidden="false" customHeight="false" outlineLevel="0" collapsed="false">
      <c r="A157" s="0" t="s">
        <v>39</v>
      </c>
      <c r="B157" s="0" t="n">
        <v>26320</v>
      </c>
      <c r="C157" s="0" t="s">
        <v>1641</v>
      </c>
      <c r="D157" s="0" t="n">
        <v>32</v>
      </c>
      <c r="E157" s="0" t="n">
        <v>1</v>
      </c>
      <c r="F157" s="0" t="n">
        <v>0</v>
      </c>
      <c r="G157" s="0" t="s">
        <v>1642</v>
      </c>
    </row>
    <row r="158" customFormat="false" ht="15" hidden="false" customHeight="false" outlineLevel="0" collapsed="false">
      <c r="A158" s="0" t="s">
        <v>39</v>
      </c>
      <c r="B158" s="0" t="n">
        <v>26316</v>
      </c>
      <c r="C158" s="0" t="s">
        <v>1643</v>
      </c>
      <c r="D158" s="0" t="n">
        <v>5</v>
      </c>
      <c r="E158" s="0" t="n">
        <v>28</v>
      </c>
      <c r="F158" s="0" t="n">
        <v>0</v>
      </c>
      <c r="G158" s="0" t="s">
        <v>1644</v>
      </c>
    </row>
    <row r="159" customFormat="false" ht="15" hidden="false" customHeight="false" outlineLevel="0" collapsed="false">
      <c r="A159" s="0" t="s">
        <v>39</v>
      </c>
      <c r="B159" s="0" t="n">
        <v>26323</v>
      </c>
      <c r="C159" s="0" t="s">
        <v>1645</v>
      </c>
      <c r="D159" s="0" t="n">
        <v>27</v>
      </c>
      <c r="E159" s="0" t="n">
        <v>1</v>
      </c>
      <c r="F159" s="0" t="n">
        <v>5</v>
      </c>
      <c r="G159" s="0" t="s">
        <v>1646</v>
      </c>
    </row>
    <row r="160" customFormat="false" ht="15" hidden="false" customHeight="false" outlineLevel="0" collapsed="false">
      <c r="A160" s="0" t="s">
        <v>39</v>
      </c>
      <c r="B160" s="0" t="n">
        <v>26318</v>
      </c>
      <c r="C160" s="0" t="s">
        <v>1647</v>
      </c>
      <c r="D160" s="0" t="n">
        <v>31</v>
      </c>
      <c r="E160" s="0" t="n">
        <v>2</v>
      </c>
      <c r="F160" s="0" t="n">
        <v>0</v>
      </c>
      <c r="G160" s="0" t="s">
        <v>1648</v>
      </c>
    </row>
    <row r="161" customFormat="false" ht="15" hidden="false" customHeight="false" outlineLevel="0" collapsed="false">
      <c r="A161" s="0" t="s">
        <v>39</v>
      </c>
      <c r="B161" s="0" t="n">
        <v>36326</v>
      </c>
      <c r="C161" s="0" t="s">
        <v>1649</v>
      </c>
      <c r="D161" s="0" t="n">
        <v>25</v>
      </c>
      <c r="E161" s="0" t="n">
        <v>7</v>
      </c>
      <c r="F161" s="0" t="n">
        <v>0</v>
      </c>
      <c r="G161" s="0" t="s">
        <v>1650</v>
      </c>
    </row>
    <row r="162" customFormat="false" ht="15" hidden="false" customHeight="false" outlineLevel="0" collapsed="false">
      <c r="A162" s="0" t="s">
        <v>39</v>
      </c>
      <c r="B162" s="0" t="n">
        <v>36327</v>
      </c>
      <c r="C162" s="0" t="s">
        <v>1651</v>
      </c>
      <c r="D162" s="0" t="n">
        <v>24</v>
      </c>
      <c r="E162" s="0" t="n">
        <v>7</v>
      </c>
      <c r="F162" s="0" t="n">
        <v>1</v>
      </c>
      <c r="G162" s="0" t="s">
        <v>1652</v>
      </c>
    </row>
    <row r="163" customFormat="false" ht="15" hidden="false" customHeight="false" outlineLevel="0" collapsed="false">
      <c r="A163" s="0" t="s">
        <v>39</v>
      </c>
      <c r="B163" s="0" t="n">
        <v>25231</v>
      </c>
      <c r="C163" s="0" t="s">
        <v>1653</v>
      </c>
      <c r="D163" s="0" t="n">
        <v>26</v>
      </c>
      <c r="E163" s="0" t="n">
        <v>7</v>
      </c>
      <c r="F163" s="0" t="n">
        <v>0</v>
      </c>
      <c r="G163" s="0" t="s">
        <v>1654</v>
      </c>
    </row>
    <row r="164" customFormat="false" ht="15" hidden="false" customHeight="false" outlineLevel="0" collapsed="false">
      <c r="A164" s="0" t="s">
        <v>39</v>
      </c>
      <c r="B164" s="0" t="n">
        <v>36328</v>
      </c>
      <c r="C164" s="0" t="s">
        <v>1655</v>
      </c>
      <c r="D164" s="0" t="n">
        <v>27</v>
      </c>
      <c r="E164" s="0" t="n">
        <v>0</v>
      </c>
      <c r="F164" s="0" t="n">
        <v>3</v>
      </c>
      <c r="G164" s="0" t="s">
        <v>1656</v>
      </c>
    </row>
    <row r="165" customFormat="false" ht="15" hidden="false" customHeight="false" outlineLevel="0" collapsed="false">
      <c r="A165" s="0" t="s">
        <v>39</v>
      </c>
      <c r="C165" s="0" t="s">
        <v>1657</v>
      </c>
      <c r="D165" s="0" t="n">
        <v>22</v>
      </c>
      <c r="E165" s="0" t="n">
        <v>6</v>
      </c>
      <c r="F165" s="0" t="n">
        <v>0</v>
      </c>
      <c r="G165" s="0" t="s">
        <v>1658</v>
      </c>
    </row>
    <row r="166" customFormat="false" ht="15" hidden="false" customHeight="false" outlineLevel="0" collapsed="false">
      <c r="A166" s="0" t="s">
        <v>39</v>
      </c>
      <c r="B166" s="0" t="n">
        <v>26335</v>
      </c>
      <c r="C166" s="0" t="s">
        <v>1659</v>
      </c>
      <c r="D166" s="0" t="n">
        <v>21</v>
      </c>
      <c r="E166" s="0" t="n">
        <v>4</v>
      </c>
      <c r="F166" s="0" t="n">
        <v>0</v>
      </c>
      <c r="G166" s="0" t="s">
        <v>1660</v>
      </c>
    </row>
    <row r="167" customFormat="false" ht="15" hidden="false" customHeight="false" outlineLevel="0" collapsed="false">
      <c r="A167" s="0" t="s">
        <v>39</v>
      </c>
      <c r="B167" s="0" t="n">
        <v>26324</v>
      </c>
      <c r="C167" s="0" t="s">
        <v>1661</v>
      </c>
      <c r="D167" s="0" t="n">
        <v>14</v>
      </c>
      <c r="E167" s="0" t="n">
        <v>7</v>
      </c>
      <c r="F167" s="0" t="n">
        <v>0</v>
      </c>
      <c r="G167" s="0" t="s">
        <v>1662</v>
      </c>
    </row>
    <row r="168" customFormat="false" ht="15" hidden="false" customHeight="false" outlineLevel="0" collapsed="false">
      <c r="A168" s="0" t="s">
        <v>39</v>
      </c>
      <c r="B168" s="0" t="n">
        <v>26264</v>
      </c>
      <c r="C168" s="0" t="s">
        <v>1559</v>
      </c>
      <c r="D168" s="0" t="n">
        <v>1</v>
      </c>
      <c r="E168" s="0" t="n">
        <v>15</v>
      </c>
      <c r="F168" s="0" t="n">
        <v>0</v>
      </c>
      <c r="G168" s="0" t="s">
        <v>1663</v>
      </c>
    </row>
    <row r="169" customFormat="false" ht="15" hidden="false" customHeight="false" outlineLevel="0" collapsed="false">
      <c r="A169" s="0" t="s">
        <v>39</v>
      </c>
      <c r="B169" s="0" t="n">
        <v>26324</v>
      </c>
      <c r="C169" s="0" t="s">
        <v>1589</v>
      </c>
      <c r="D169" s="0" t="n">
        <v>16</v>
      </c>
      <c r="E169" s="0" t="n">
        <v>5</v>
      </c>
      <c r="F169" s="0" t="n">
        <v>0</v>
      </c>
      <c r="G169" s="0" t="s">
        <v>1662</v>
      </c>
    </row>
    <row r="170" customFormat="false" ht="15" hidden="false" customHeight="false" outlineLevel="0" collapsed="false">
      <c r="A170" s="0" t="s">
        <v>39</v>
      </c>
      <c r="B170" s="0" t="n">
        <v>26292</v>
      </c>
      <c r="C170" s="0" t="s">
        <v>1664</v>
      </c>
      <c r="D170" s="0" t="n">
        <v>3</v>
      </c>
      <c r="E170" s="0" t="n">
        <v>0</v>
      </c>
      <c r="F170" s="0" t="n">
        <v>0</v>
      </c>
      <c r="G170" s="0" t="s">
        <v>1665</v>
      </c>
    </row>
    <row r="171" customFormat="false" ht="15" hidden="false" customHeight="false" outlineLevel="0" collapsed="false">
      <c r="A171" s="0" t="s">
        <v>39</v>
      </c>
      <c r="C171" s="0" t="s">
        <v>1666</v>
      </c>
      <c r="D171" s="0" t="n">
        <v>2</v>
      </c>
      <c r="E171" s="0" t="n">
        <v>1</v>
      </c>
      <c r="F171" s="0" t="n">
        <v>0</v>
      </c>
      <c r="G171" s="0" t="s">
        <v>1667</v>
      </c>
    </row>
    <row r="172" customFormat="false" ht="15" hidden="false" customHeight="false" outlineLevel="0" collapsed="false">
      <c r="A172" s="0" t="s">
        <v>39</v>
      </c>
      <c r="B172" s="0" t="n">
        <v>26314</v>
      </c>
      <c r="C172" s="0" t="s">
        <v>1597</v>
      </c>
      <c r="D172" s="0" t="n">
        <v>3</v>
      </c>
      <c r="E172" s="0" t="n">
        <v>0</v>
      </c>
      <c r="F172" s="0" t="n">
        <v>0</v>
      </c>
      <c r="G172" s="0" t="s">
        <v>1668</v>
      </c>
    </row>
    <row r="173" customFormat="false" ht="15" hidden="false" customHeight="false" outlineLevel="0" collapsed="false">
      <c r="A173" s="0" t="s">
        <v>39</v>
      </c>
      <c r="B173" s="0" t="n">
        <v>26270</v>
      </c>
      <c r="C173" s="0" t="s">
        <v>1575</v>
      </c>
      <c r="D173" s="0" t="n">
        <v>3</v>
      </c>
      <c r="E173" s="0" t="n">
        <v>0</v>
      </c>
      <c r="F173" s="0" t="n">
        <v>0</v>
      </c>
      <c r="G173" s="0" t="s">
        <v>1669</v>
      </c>
    </row>
    <row r="174" customFormat="false" ht="15" hidden="false" customHeight="false" outlineLevel="0" collapsed="false">
      <c r="A174" s="0" t="s">
        <v>39</v>
      </c>
      <c r="C174" s="0" t="s">
        <v>1599</v>
      </c>
      <c r="D174" s="0" t="n">
        <v>2</v>
      </c>
      <c r="E174" s="0" t="n">
        <v>1</v>
      </c>
      <c r="F174" s="0" t="n">
        <v>0</v>
      </c>
      <c r="G174" s="0" t="s">
        <v>1670</v>
      </c>
    </row>
    <row r="175" customFormat="false" ht="15" hidden="false" customHeight="false" outlineLevel="0" collapsed="false">
      <c r="A175" s="0" t="s">
        <v>40</v>
      </c>
      <c r="B175" s="0" t="n">
        <v>26325</v>
      </c>
      <c r="C175" s="0" t="s">
        <v>1671</v>
      </c>
      <c r="D175" s="0" t="n">
        <v>16</v>
      </c>
      <c r="E175" s="0" t="n">
        <v>6</v>
      </c>
      <c r="F175" s="0" t="n">
        <v>0</v>
      </c>
      <c r="G175" s="0" t="s">
        <v>1672</v>
      </c>
    </row>
    <row r="176" customFormat="false" ht="15" hidden="false" customHeight="false" outlineLevel="0" collapsed="false">
      <c r="A176" s="0" t="s">
        <v>40</v>
      </c>
      <c r="B176" s="0" t="n">
        <v>26343</v>
      </c>
      <c r="C176" s="0" t="s">
        <v>1673</v>
      </c>
      <c r="D176" s="0" t="n">
        <v>20</v>
      </c>
      <c r="E176" s="0" t="n">
        <v>1</v>
      </c>
      <c r="F176" s="0" t="n">
        <v>1</v>
      </c>
      <c r="G176" s="0" t="s">
        <v>1674</v>
      </c>
    </row>
    <row r="177" customFormat="false" ht="15" hidden="false" customHeight="false" outlineLevel="0" collapsed="false">
      <c r="A177" s="0" t="s">
        <v>40</v>
      </c>
      <c r="B177" s="0" t="n">
        <v>26342</v>
      </c>
      <c r="C177" s="0" t="s">
        <v>1675</v>
      </c>
      <c r="D177" s="0" t="n">
        <v>21</v>
      </c>
      <c r="E177" s="0" t="n">
        <v>0</v>
      </c>
      <c r="F177" s="0" t="n">
        <v>1</v>
      </c>
      <c r="G177" s="0" t="s">
        <v>1676</v>
      </c>
    </row>
    <row r="178" customFormat="false" ht="15" hidden="false" customHeight="false" outlineLevel="0" collapsed="false">
      <c r="A178" s="0" t="s">
        <v>40</v>
      </c>
      <c r="B178" s="0" t="n">
        <v>26329</v>
      </c>
      <c r="C178" s="0" t="s">
        <v>1677</v>
      </c>
      <c r="D178" s="0" t="n">
        <v>20</v>
      </c>
      <c r="E178" s="0" t="n">
        <v>2</v>
      </c>
      <c r="F178" s="0" t="n">
        <v>0</v>
      </c>
      <c r="G178" s="0" t="s">
        <v>1678</v>
      </c>
    </row>
    <row r="179" customFormat="false" ht="15" hidden="false" customHeight="false" outlineLevel="0" collapsed="false">
      <c r="A179" s="0" t="s">
        <v>40</v>
      </c>
      <c r="B179" s="0" t="n">
        <v>26334</v>
      </c>
      <c r="C179" s="0" t="s">
        <v>1679</v>
      </c>
      <c r="D179" s="0" t="n">
        <v>8</v>
      </c>
      <c r="E179" s="0" t="n">
        <v>3</v>
      </c>
      <c r="F179" s="0" t="n">
        <v>6</v>
      </c>
      <c r="G179" s="0" t="s">
        <v>1680</v>
      </c>
    </row>
    <row r="180" customFormat="false" ht="15" hidden="false" customHeight="false" outlineLevel="0" collapsed="false">
      <c r="A180" s="0" t="s">
        <v>40</v>
      </c>
      <c r="B180" s="0" t="n">
        <v>26331</v>
      </c>
      <c r="C180" s="0" t="s">
        <v>1681</v>
      </c>
      <c r="D180" s="0" t="n">
        <v>21</v>
      </c>
      <c r="E180" s="0" t="n">
        <v>1</v>
      </c>
      <c r="F180" s="0" t="n">
        <v>0</v>
      </c>
      <c r="G180" s="0" t="s">
        <v>1682</v>
      </c>
    </row>
    <row r="181" customFormat="false" ht="15" hidden="false" customHeight="false" outlineLevel="0" collapsed="false">
      <c r="A181" s="0" t="s">
        <v>40</v>
      </c>
      <c r="B181" s="0" t="n">
        <v>26332</v>
      </c>
      <c r="C181" s="0" t="s">
        <v>1683</v>
      </c>
      <c r="D181" s="0" t="n">
        <v>17</v>
      </c>
      <c r="E181" s="0" t="n">
        <v>9</v>
      </c>
      <c r="F181" s="0" t="n">
        <v>0</v>
      </c>
      <c r="G181" s="0" t="s">
        <v>1684</v>
      </c>
    </row>
    <row r="182" customFormat="false" ht="15" hidden="false" customHeight="false" outlineLevel="0" collapsed="false">
      <c r="A182" s="0" t="s">
        <v>40</v>
      </c>
      <c r="B182" s="0" t="n">
        <v>26333</v>
      </c>
      <c r="C182" s="0" t="s">
        <v>1685</v>
      </c>
      <c r="D182" s="0" t="n">
        <v>18</v>
      </c>
      <c r="E182" s="0" t="n">
        <v>4</v>
      </c>
      <c r="F182" s="0" t="n">
        <v>0</v>
      </c>
      <c r="G182" s="0" t="s">
        <v>1686</v>
      </c>
    </row>
    <row r="183" customFormat="false" ht="15" hidden="false" customHeight="false" outlineLevel="0" collapsed="false">
      <c r="A183" s="0" t="s">
        <v>40</v>
      </c>
      <c r="B183" s="0" t="n">
        <v>26337</v>
      </c>
      <c r="C183" s="0" t="s">
        <v>1687</v>
      </c>
      <c r="D183" s="0" t="n">
        <v>15</v>
      </c>
      <c r="E183" s="0" t="n">
        <v>5</v>
      </c>
      <c r="F183" s="0" t="n">
        <v>0</v>
      </c>
      <c r="G183" s="0" t="s">
        <v>1688</v>
      </c>
    </row>
    <row r="184" customFormat="false" ht="15" hidden="false" customHeight="false" outlineLevel="0" collapsed="false">
      <c r="A184" s="0" t="s">
        <v>40</v>
      </c>
      <c r="C184" s="0" t="s">
        <v>1689</v>
      </c>
      <c r="D184" s="0" t="n">
        <v>12</v>
      </c>
      <c r="E184" s="0" t="n">
        <v>7</v>
      </c>
      <c r="F184" s="0" t="n">
        <v>0</v>
      </c>
      <c r="G184" s="0" t="s">
        <v>1690</v>
      </c>
    </row>
    <row r="185" customFormat="false" ht="15" hidden="false" customHeight="false" outlineLevel="0" collapsed="false">
      <c r="A185" s="0" t="s">
        <v>40</v>
      </c>
      <c r="B185" s="0" t="n">
        <v>26338</v>
      </c>
      <c r="C185" s="0" t="s">
        <v>319</v>
      </c>
      <c r="D185" s="0" t="n">
        <v>10</v>
      </c>
      <c r="E185" s="0" t="n">
        <v>6</v>
      </c>
      <c r="F185" s="0" t="n">
        <v>1</v>
      </c>
      <c r="G185" s="0" t="s">
        <v>1691</v>
      </c>
    </row>
    <row r="186" customFormat="false" ht="15" hidden="false" customHeight="false" outlineLevel="0" collapsed="false">
      <c r="A186" s="0" t="s">
        <v>40</v>
      </c>
      <c r="B186" s="0" t="n">
        <v>26339</v>
      </c>
      <c r="C186" s="0" t="s">
        <v>1692</v>
      </c>
      <c r="D186" s="0" t="n">
        <v>10</v>
      </c>
      <c r="E186" s="0" t="n">
        <v>6</v>
      </c>
      <c r="F186" s="0" t="n">
        <v>0</v>
      </c>
      <c r="G186" s="0" t="s">
        <v>1693</v>
      </c>
    </row>
    <row r="187" customFormat="false" ht="15" hidden="false" customHeight="false" outlineLevel="0" collapsed="false">
      <c r="A187" s="0" t="s">
        <v>40</v>
      </c>
      <c r="B187" s="0" t="n">
        <v>26315</v>
      </c>
      <c r="C187" s="0" t="s">
        <v>1637</v>
      </c>
      <c r="D187" s="0" t="n">
        <v>5</v>
      </c>
      <c r="E187" s="0" t="n">
        <v>4</v>
      </c>
      <c r="F187" s="0" t="n">
        <v>0</v>
      </c>
      <c r="G187" s="0" t="s">
        <v>1694</v>
      </c>
    </row>
    <row r="188" customFormat="false" ht="15" hidden="false" customHeight="false" outlineLevel="0" collapsed="false">
      <c r="A188" s="0" t="s">
        <v>41</v>
      </c>
      <c r="B188" s="0" t="n">
        <v>26340</v>
      </c>
      <c r="C188" s="0" t="s">
        <v>1243</v>
      </c>
      <c r="D188" s="0" t="n">
        <v>5</v>
      </c>
      <c r="E188" s="0" t="n">
        <v>0</v>
      </c>
      <c r="F188" s="0" t="n">
        <v>0</v>
      </c>
      <c r="G188" s="0" t="s">
        <v>1695</v>
      </c>
    </row>
    <row r="189" customFormat="false" ht="15" hidden="false" customHeight="false" outlineLevel="0" collapsed="false">
      <c r="A189" s="0" t="s">
        <v>41</v>
      </c>
      <c r="B189" s="0" t="n">
        <v>26341</v>
      </c>
      <c r="C189" s="0" t="s">
        <v>1246</v>
      </c>
      <c r="D189" s="0" t="n">
        <v>5</v>
      </c>
      <c r="E189" s="0" t="n">
        <v>0</v>
      </c>
      <c r="F189" s="0" t="n">
        <v>0</v>
      </c>
      <c r="G189" s="0" t="s">
        <v>1696</v>
      </c>
    </row>
    <row r="190" customFormat="false" ht="15" hidden="false" customHeight="false" outlineLevel="0" collapsed="false">
      <c r="A190" s="0" t="s">
        <v>41</v>
      </c>
      <c r="B190" s="0" t="n">
        <v>26344</v>
      </c>
      <c r="C190" s="0" t="s">
        <v>1249</v>
      </c>
      <c r="D190" s="0" t="n">
        <v>5</v>
      </c>
      <c r="E190" s="0" t="n">
        <v>0</v>
      </c>
      <c r="F190" s="0" t="n">
        <v>0</v>
      </c>
      <c r="G190" s="0" t="s">
        <v>1697</v>
      </c>
    </row>
    <row r="191" customFormat="false" ht="15" hidden="false" customHeight="false" outlineLevel="0" collapsed="false">
      <c r="A191" s="0" t="s">
        <v>41</v>
      </c>
      <c r="B191" s="0" t="n">
        <v>26349</v>
      </c>
      <c r="C191" s="0" t="s">
        <v>1253</v>
      </c>
      <c r="D191" s="0" t="n">
        <v>5</v>
      </c>
      <c r="E191" s="0" t="n">
        <v>0</v>
      </c>
      <c r="F191" s="0" t="n">
        <v>0</v>
      </c>
      <c r="G191" s="0" t="s">
        <v>1698</v>
      </c>
    </row>
    <row r="192" customFormat="false" ht="15" hidden="false" customHeight="false" outlineLevel="0" collapsed="false">
      <c r="A192" s="0" t="s">
        <v>41</v>
      </c>
      <c r="B192" s="0" t="n">
        <v>26334</v>
      </c>
      <c r="C192" s="0" t="s">
        <v>1383</v>
      </c>
      <c r="D192" s="0" t="n">
        <v>1</v>
      </c>
      <c r="E192" s="0" t="n">
        <v>4</v>
      </c>
      <c r="F192" s="0" t="n">
        <v>0</v>
      </c>
      <c r="G192" s="0" t="s">
        <v>1699</v>
      </c>
    </row>
    <row r="193" customFormat="false" ht="15" hidden="false" customHeight="false" outlineLevel="0" collapsed="false">
      <c r="A193" s="0" t="s">
        <v>41</v>
      </c>
      <c r="B193" s="0" t="n">
        <v>25210</v>
      </c>
      <c r="C193" s="0" t="s">
        <v>1107</v>
      </c>
      <c r="D193" s="0" t="n">
        <v>5</v>
      </c>
      <c r="E193" s="0" t="n">
        <v>0</v>
      </c>
      <c r="F193" s="0" t="n">
        <v>0</v>
      </c>
      <c r="G193" s="0" t="s">
        <v>1700</v>
      </c>
    </row>
    <row r="194" customFormat="false" ht="15" hidden="false" customHeight="false" outlineLevel="0" collapsed="false">
      <c r="A194" s="0" t="s">
        <v>41</v>
      </c>
      <c r="B194" s="0" t="n">
        <v>26347</v>
      </c>
      <c r="C194" s="0" t="s">
        <v>1257</v>
      </c>
      <c r="D194" s="0" t="n">
        <v>5</v>
      </c>
      <c r="E194" s="0" t="n">
        <v>0</v>
      </c>
      <c r="F194" s="0" t="n">
        <v>0</v>
      </c>
      <c r="G194" s="0" t="s">
        <v>1701</v>
      </c>
    </row>
    <row r="195" customFormat="false" ht="15" hidden="false" customHeight="false" outlineLevel="0" collapsed="false">
      <c r="A195" s="0" t="s">
        <v>41</v>
      </c>
      <c r="B195" s="0" t="n">
        <v>26352</v>
      </c>
      <c r="C195" s="0" t="s">
        <v>1260</v>
      </c>
      <c r="D195" s="0" t="n">
        <v>5</v>
      </c>
      <c r="E195" s="0" t="n">
        <v>0</v>
      </c>
      <c r="F195" s="0" t="n">
        <v>0</v>
      </c>
      <c r="G195" s="0" t="s">
        <v>1702</v>
      </c>
    </row>
    <row r="196" customFormat="false" ht="15" hidden="false" customHeight="false" outlineLevel="0" collapsed="false">
      <c r="A196" s="0" t="s">
        <v>41</v>
      </c>
      <c r="B196" s="0" t="n">
        <v>26353</v>
      </c>
      <c r="C196" s="0" t="s">
        <v>1263</v>
      </c>
      <c r="D196" s="0" t="n">
        <v>5</v>
      </c>
      <c r="E196" s="0" t="n">
        <v>0</v>
      </c>
      <c r="F196" s="0" t="n">
        <v>0</v>
      </c>
      <c r="G196" s="0" t="s">
        <v>1703</v>
      </c>
    </row>
    <row r="197" customFormat="false" ht="15" hidden="false" customHeight="false" outlineLevel="0" collapsed="false">
      <c r="A197" s="0" t="s">
        <v>41</v>
      </c>
      <c r="B197" s="0" t="n">
        <v>26358</v>
      </c>
      <c r="C197" s="0" t="s">
        <v>1267</v>
      </c>
      <c r="D197" s="0" t="n">
        <v>5</v>
      </c>
      <c r="E197" s="0" t="n">
        <v>0</v>
      </c>
      <c r="F197" s="0" t="n">
        <v>0</v>
      </c>
      <c r="G197" s="0" t="s">
        <v>1704</v>
      </c>
    </row>
    <row r="198" customFormat="false" ht="15" hidden="false" customHeight="false" outlineLevel="0" collapsed="false">
      <c r="A198" s="0" t="s">
        <v>41</v>
      </c>
      <c r="B198" s="0" t="n">
        <v>26357</v>
      </c>
      <c r="C198" s="0" t="s">
        <v>1271</v>
      </c>
      <c r="D198" s="0" t="n">
        <v>5</v>
      </c>
      <c r="E198" s="0" t="n">
        <v>0</v>
      </c>
      <c r="F198" s="0" t="n">
        <v>0</v>
      </c>
      <c r="G198" s="0" t="s">
        <v>1705</v>
      </c>
    </row>
    <row r="199" customFormat="false" ht="15" hidden="false" customHeight="false" outlineLevel="0" collapsed="false">
      <c r="A199" s="0" t="s">
        <v>41</v>
      </c>
      <c r="C199" s="0" t="s">
        <v>1274</v>
      </c>
      <c r="D199" s="0" t="n">
        <v>3</v>
      </c>
      <c r="E199" s="0" t="n">
        <v>2</v>
      </c>
      <c r="F199" s="0" t="n">
        <v>0</v>
      </c>
      <c r="G199" s="0" t="s">
        <v>1706</v>
      </c>
    </row>
    <row r="200" customFormat="false" ht="15" hidden="false" customHeight="false" outlineLevel="0" collapsed="false">
      <c r="A200" s="0" t="s">
        <v>41</v>
      </c>
      <c r="B200" s="0" t="n">
        <v>26364</v>
      </c>
      <c r="C200" s="0" t="s">
        <v>1277</v>
      </c>
      <c r="D200" s="0" t="n">
        <v>5</v>
      </c>
      <c r="E200" s="0" t="n">
        <v>0</v>
      </c>
      <c r="F200" s="0" t="n">
        <v>0</v>
      </c>
      <c r="G200" s="0" t="s">
        <v>1707</v>
      </c>
    </row>
    <row r="201" customFormat="false" ht="15" hidden="false" customHeight="false" outlineLevel="0" collapsed="false">
      <c r="A201" s="0" t="s">
        <v>41</v>
      </c>
      <c r="B201" s="0" t="n">
        <v>26365</v>
      </c>
      <c r="C201" s="0" t="s">
        <v>1280</v>
      </c>
      <c r="D201" s="0" t="n">
        <v>5</v>
      </c>
      <c r="E201" s="0" t="n">
        <v>0</v>
      </c>
      <c r="F201" s="0" t="n">
        <v>0</v>
      </c>
      <c r="G201" s="0" t="s">
        <v>1708</v>
      </c>
    </row>
    <row r="202" customFormat="false" ht="15" hidden="false" customHeight="false" outlineLevel="0" collapsed="false">
      <c r="A202" s="0" t="s">
        <v>41</v>
      </c>
      <c r="C202" s="0" t="s">
        <v>1282</v>
      </c>
      <c r="D202" s="0" t="n">
        <v>5</v>
      </c>
      <c r="E202" s="0" t="n">
        <v>0</v>
      </c>
      <c r="F202" s="0" t="n">
        <v>0</v>
      </c>
      <c r="G202" s="0" t="s">
        <v>1709</v>
      </c>
    </row>
    <row r="203" customFormat="false" ht="15" hidden="false" customHeight="false" outlineLevel="0" collapsed="false">
      <c r="A203" s="0" t="s">
        <v>41</v>
      </c>
      <c r="B203" s="0" t="n">
        <v>25238</v>
      </c>
      <c r="C203" s="0" t="s">
        <v>921</v>
      </c>
      <c r="D203" s="0" t="n">
        <v>5</v>
      </c>
      <c r="E203" s="0" t="n">
        <v>0</v>
      </c>
      <c r="F203" s="0" t="n">
        <v>0</v>
      </c>
      <c r="G203" s="0" t="s">
        <v>1710</v>
      </c>
    </row>
    <row r="204" customFormat="false" ht="15" hidden="false" customHeight="false" outlineLevel="0" collapsed="false">
      <c r="A204" s="0" t="s">
        <v>41</v>
      </c>
      <c r="B204" s="0" t="n">
        <v>26359</v>
      </c>
      <c r="C204" s="0" t="s">
        <v>1286</v>
      </c>
      <c r="D204" s="0" t="n">
        <v>5</v>
      </c>
      <c r="E204" s="0" t="n">
        <v>0</v>
      </c>
      <c r="F204" s="0" t="n">
        <v>0</v>
      </c>
      <c r="G204" s="0" t="s">
        <v>1711</v>
      </c>
    </row>
    <row r="205" customFormat="false" ht="15" hidden="false" customHeight="false" outlineLevel="0" collapsed="false">
      <c r="A205" s="0" t="s">
        <v>41</v>
      </c>
      <c r="B205" s="0" t="n">
        <v>26361</v>
      </c>
      <c r="C205" s="0" t="s">
        <v>1289</v>
      </c>
      <c r="D205" s="0" t="n">
        <v>5</v>
      </c>
      <c r="E205" s="0" t="n">
        <v>0</v>
      </c>
      <c r="F205" s="0" t="n">
        <v>0</v>
      </c>
      <c r="G205" s="0" t="s">
        <v>1712</v>
      </c>
    </row>
    <row r="206" customFormat="false" ht="15" hidden="false" customHeight="false" outlineLevel="0" collapsed="false">
      <c r="A206" s="0" t="s">
        <v>41</v>
      </c>
      <c r="C206" s="0" t="s">
        <v>1293</v>
      </c>
      <c r="D206" s="0" t="n">
        <v>5</v>
      </c>
      <c r="E206" s="0" t="n">
        <v>0</v>
      </c>
      <c r="F206" s="0" t="n">
        <v>0</v>
      </c>
      <c r="G206" s="0" t="s">
        <v>1713</v>
      </c>
    </row>
    <row r="207" customFormat="false" ht="15" hidden="false" customHeight="false" outlineLevel="0" collapsed="false">
      <c r="A207" s="0" t="s">
        <v>41</v>
      </c>
      <c r="B207" s="0" t="n">
        <v>26367</v>
      </c>
      <c r="C207" s="0" t="s">
        <v>1296</v>
      </c>
      <c r="D207" s="0" t="n">
        <v>4</v>
      </c>
      <c r="E207" s="0" t="n">
        <v>1</v>
      </c>
      <c r="F207" s="0" t="n">
        <v>0</v>
      </c>
      <c r="G207" s="0" t="s">
        <v>1714</v>
      </c>
    </row>
    <row r="208" customFormat="false" ht="15" hidden="false" customHeight="false" outlineLevel="0" collapsed="false">
      <c r="A208" s="0" t="s">
        <v>41</v>
      </c>
      <c r="B208" s="0" t="n">
        <v>26362</v>
      </c>
      <c r="C208" s="0" t="s">
        <v>1298</v>
      </c>
      <c r="D208" s="0" t="n">
        <v>5</v>
      </c>
      <c r="E208" s="0" t="n">
        <v>0</v>
      </c>
      <c r="F208" s="0" t="n">
        <v>0</v>
      </c>
      <c r="G208" s="0" t="s">
        <v>1715</v>
      </c>
    </row>
    <row r="209" customFormat="false" ht="15" hidden="false" customHeight="false" outlineLevel="0" collapsed="false">
      <c r="A209" s="0" t="s">
        <v>41</v>
      </c>
      <c r="B209" s="0" t="n">
        <v>26363</v>
      </c>
      <c r="C209" s="0" t="s">
        <v>1301</v>
      </c>
      <c r="D209" s="0" t="n">
        <v>5</v>
      </c>
      <c r="E209" s="0" t="n">
        <v>0</v>
      </c>
      <c r="F209" s="0" t="n">
        <v>0</v>
      </c>
      <c r="G209" s="0" t="s">
        <v>1716</v>
      </c>
    </row>
    <row r="210" customFormat="false" ht="15" hidden="false" customHeight="false" outlineLevel="0" collapsed="false">
      <c r="A210" s="0" t="s">
        <v>41</v>
      </c>
      <c r="C210" s="0" t="s">
        <v>1304</v>
      </c>
      <c r="D210" s="0" t="n">
        <v>3</v>
      </c>
      <c r="E210" s="0" t="n">
        <v>2</v>
      </c>
      <c r="F210" s="0" t="n">
        <v>0</v>
      </c>
      <c r="G210" s="0" t="s">
        <v>1717</v>
      </c>
    </row>
    <row r="211" customFormat="false" ht="15" hidden="false" customHeight="false" outlineLevel="0" collapsed="false">
      <c r="A211" s="0" t="s">
        <v>41</v>
      </c>
      <c r="B211" s="0" t="n">
        <v>26368</v>
      </c>
      <c r="C211" s="0" t="s">
        <v>1307</v>
      </c>
      <c r="D211" s="0" t="n">
        <v>5</v>
      </c>
      <c r="E211" s="0" t="n">
        <v>0</v>
      </c>
      <c r="F211" s="0" t="n">
        <v>0</v>
      </c>
      <c r="G211" s="0" t="s">
        <v>1718</v>
      </c>
    </row>
    <row r="212" customFormat="false" ht="15" hidden="false" customHeight="false" outlineLevel="0" collapsed="false">
      <c r="A212" s="0" t="s">
        <v>41</v>
      </c>
      <c r="B212" s="0" t="n">
        <v>26366</v>
      </c>
      <c r="C212" s="0" t="s">
        <v>1310</v>
      </c>
      <c r="D212" s="0" t="n">
        <v>5</v>
      </c>
      <c r="E212" s="0" t="n">
        <v>0</v>
      </c>
      <c r="F212" s="0" t="n">
        <v>0</v>
      </c>
      <c r="G212" s="0" t="s">
        <v>1719</v>
      </c>
    </row>
    <row r="213" customFormat="false" ht="15" hidden="false" customHeight="false" outlineLevel="0" collapsed="false">
      <c r="A213" s="0" t="s">
        <v>41</v>
      </c>
      <c r="B213" s="0" t="n">
        <v>26369</v>
      </c>
      <c r="C213" s="0" t="s">
        <v>1315</v>
      </c>
      <c r="D213" s="0" t="n">
        <v>5</v>
      </c>
      <c r="E213" s="0" t="n">
        <v>0</v>
      </c>
      <c r="F213" s="0" t="n">
        <v>0</v>
      </c>
      <c r="G213" s="0" t="s">
        <v>1720</v>
      </c>
    </row>
    <row r="214" customFormat="false" ht="15" hidden="false" customHeight="false" outlineLevel="0" collapsed="false">
      <c r="A214" s="0" t="s">
        <v>41</v>
      </c>
      <c r="C214" s="0" t="s">
        <v>1317</v>
      </c>
      <c r="D214" s="0" t="n">
        <v>4</v>
      </c>
      <c r="E214" s="0" t="n">
        <v>1</v>
      </c>
      <c r="F214" s="0" t="n">
        <v>0</v>
      </c>
      <c r="G214" s="0" t="s">
        <v>1721</v>
      </c>
    </row>
    <row r="215" customFormat="false" ht="15" hidden="false" customHeight="false" outlineLevel="0" collapsed="false">
      <c r="A215" s="0" t="s">
        <v>41</v>
      </c>
      <c r="B215" s="0" t="n">
        <v>26371</v>
      </c>
      <c r="C215" s="0" t="s">
        <v>1321</v>
      </c>
      <c r="D215" s="0" t="n">
        <v>3</v>
      </c>
      <c r="E215" s="0" t="n">
        <v>2</v>
      </c>
      <c r="F215" s="0" t="n">
        <v>0</v>
      </c>
      <c r="G215" s="0" t="s">
        <v>1722</v>
      </c>
    </row>
    <row r="216" customFormat="false" ht="15" hidden="false" customHeight="false" outlineLevel="0" collapsed="false">
      <c r="A216" s="0" t="s">
        <v>41</v>
      </c>
      <c r="C216" s="0" t="s">
        <v>1324</v>
      </c>
      <c r="D216" s="0" t="n">
        <v>3</v>
      </c>
      <c r="E216" s="0" t="n">
        <v>0</v>
      </c>
      <c r="F216" s="0" t="n">
        <v>0</v>
      </c>
      <c r="G216" s="0" t="s">
        <v>1723</v>
      </c>
    </row>
    <row r="217" customFormat="false" ht="15" hidden="false" customHeight="false" outlineLevel="0" collapsed="false">
      <c r="A217" s="0" t="s">
        <v>42</v>
      </c>
      <c r="B217" s="0" t="n">
        <v>26236</v>
      </c>
      <c r="C217" s="0" t="s">
        <v>1330</v>
      </c>
      <c r="D217" s="0" t="n">
        <v>10</v>
      </c>
      <c r="E217" s="0" t="n">
        <v>3</v>
      </c>
      <c r="F217" s="0" t="n">
        <v>0</v>
      </c>
      <c r="G217" s="0" t="s">
        <v>1724</v>
      </c>
    </row>
    <row r="218" customFormat="false" ht="15" hidden="false" customHeight="false" outlineLevel="0" collapsed="false">
      <c r="A218" s="0" t="s">
        <v>42</v>
      </c>
      <c r="B218" s="0" t="n">
        <v>25161</v>
      </c>
      <c r="C218" s="0" t="s">
        <v>746</v>
      </c>
      <c r="D218" s="0" t="n">
        <v>10</v>
      </c>
      <c r="E218" s="0" t="n">
        <v>3</v>
      </c>
      <c r="F218" s="0" t="n">
        <v>0</v>
      </c>
      <c r="G218" s="0" t="s">
        <v>1725</v>
      </c>
    </row>
    <row r="219" customFormat="false" ht="15" hidden="false" customHeight="false" outlineLevel="0" collapsed="false">
      <c r="A219" s="0" t="s">
        <v>42</v>
      </c>
      <c r="B219" s="0" t="n">
        <v>26235</v>
      </c>
      <c r="C219" s="0" t="s">
        <v>1331</v>
      </c>
      <c r="D219" s="0" t="n">
        <v>7</v>
      </c>
      <c r="E219" s="0" t="n">
        <v>6</v>
      </c>
      <c r="F219" s="0" t="n">
        <v>0</v>
      </c>
      <c r="G219" s="0" t="s">
        <v>1726</v>
      </c>
    </row>
    <row r="220" customFormat="false" ht="15" hidden="false" customHeight="false" outlineLevel="0" collapsed="false">
      <c r="A220" s="0" t="s">
        <v>42</v>
      </c>
      <c r="B220" s="0" t="n">
        <v>26244</v>
      </c>
      <c r="C220" s="0" t="s">
        <v>889</v>
      </c>
      <c r="D220" s="0" t="n">
        <v>7</v>
      </c>
      <c r="E220" s="0" t="n">
        <v>6</v>
      </c>
      <c r="F220" s="0" t="n">
        <v>0</v>
      </c>
      <c r="G220" s="0" t="s">
        <v>1727</v>
      </c>
    </row>
    <row r="221" customFormat="false" ht="15" hidden="false" customHeight="false" outlineLevel="0" collapsed="false">
      <c r="A221" s="0" t="s">
        <v>42</v>
      </c>
      <c r="B221" s="0" t="n">
        <v>26336</v>
      </c>
      <c r="C221" s="0" t="s">
        <v>1335</v>
      </c>
      <c r="D221" s="0" t="n">
        <v>2</v>
      </c>
      <c r="E221" s="0" t="n">
        <v>11</v>
      </c>
      <c r="F221" s="0" t="n">
        <v>0</v>
      </c>
      <c r="G221" s="0" t="s">
        <v>1728</v>
      </c>
    </row>
    <row r="222" customFormat="false" ht="15" hidden="false" customHeight="false" outlineLevel="0" collapsed="false">
      <c r="A222" s="0" t="s">
        <v>42</v>
      </c>
      <c r="B222" s="0" t="n">
        <v>25228</v>
      </c>
      <c r="C222" s="0" t="s">
        <v>1340</v>
      </c>
      <c r="D222" s="0" t="n">
        <v>3</v>
      </c>
      <c r="E222" s="0" t="n">
        <v>10</v>
      </c>
      <c r="F222" s="0" t="n">
        <v>0</v>
      </c>
      <c r="G222" s="0" t="s">
        <v>1729</v>
      </c>
    </row>
    <row r="223" customFormat="false" ht="15" hidden="false" customHeight="false" outlineLevel="0" collapsed="false">
      <c r="A223" s="0" t="s">
        <v>42</v>
      </c>
      <c r="B223" s="0" t="n">
        <v>25229</v>
      </c>
      <c r="C223" s="0" t="s">
        <v>636</v>
      </c>
      <c r="D223" s="0" t="n">
        <v>10</v>
      </c>
      <c r="E223" s="0" t="n">
        <v>3</v>
      </c>
      <c r="F223" s="0" t="n">
        <v>0</v>
      </c>
      <c r="G223" s="0" t="s">
        <v>1730</v>
      </c>
    </row>
    <row r="224" customFormat="false" ht="15" hidden="false" customHeight="false" outlineLevel="0" collapsed="false">
      <c r="A224" s="0" t="s">
        <v>42</v>
      </c>
      <c r="B224" s="0" t="n">
        <v>26246</v>
      </c>
      <c r="C224" s="0" t="s">
        <v>1341</v>
      </c>
      <c r="D224" s="0" t="n">
        <v>7</v>
      </c>
      <c r="E224" s="0" t="n">
        <v>6</v>
      </c>
      <c r="F224" s="0" t="n">
        <v>0</v>
      </c>
      <c r="G224" s="0" t="s">
        <v>1731</v>
      </c>
    </row>
    <row r="225" customFormat="false" ht="15" hidden="false" customHeight="false" outlineLevel="0" collapsed="false">
      <c r="A225" s="0" t="s">
        <v>42</v>
      </c>
      <c r="B225" s="0" t="n">
        <v>26242</v>
      </c>
      <c r="C225" s="0" t="s">
        <v>1342</v>
      </c>
      <c r="D225" s="0" t="n">
        <v>4</v>
      </c>
      <c r="E225" s="0" t="n">
        <v>9</v>
      </c>
      <c r="F225" s="0" t="n">
        <v>0</v>
      </c>
      <c r="G225" s="0" t="s">
        <v>1732</v>
      </c>
    </row>
    <row r="226" customFormat="false" ht="15" hidden="false" customHeight="false" outlineLevel="0" collapsed="false">
      <c r="A226" s="0" t="s">
        <v>42</v>
      </c>
      <c r="B226" s="0" t="n">
        <v>26241</v>
      </c>
      <c r="C226" s="0" t="s">
        <v>1345</v>
      </c>
      <c r="D226" s="0" t="n">
        <v>3</v>
      </c>
      <c r="E226" s="0" t="n">
        <v>10</v>
      </c>
      <c r="F226" s="0" t="n">
        <v>0</v>
      </c>
      <c r="G226" s="0" t="s">
        <v>1733</v>
      </c>
    </row>
    <row r="227" customFormat="false" ht="15" hidden="false" customHeight="false" outlineLevel="0" collapsed="false">
      <c r="A227" s="0" t="s">
        <v>42</v>
      </c>
      <c r="B227" s="0" t="n">
        <v>26248</v>
      </c>
      <c r="C227" s="0" t="s">
        <v>1347</v>
      </c>
      <c r="D227" s="0" t="n">
        <v>3</v>
      </c>
      <c r="E227" s="0" t="n">
        <v>10</v>
      </c>
      <c r="F227" s="0" t="n">
        <v>0</v>
      </c>
      <c r="G227" s="0" t="s">
        <v>1734</v>
      </c>
    </row>
    <row r="228" customFormat="false" ht="15" hidden="false" customHeight="false" outlineLevel="0" collapsed="false">
      <c r="A228" s="0" t="s">
        <v>42</v>
      </c>
      <c r="B228" s="0" t="n">
        <v>25227</v>
      </c>
      <c r="C228" s="0" t="s">
        <v>1349</v>
      </c>
      <c r="D228" s="0" t="n">
        <v>5</v>
      </c>
      <c r="E228" s="0" t="n">
        <v>8</v>
      </c>
      <c r="F228" s="0" t="n">
        <v>0</v>
      </c>
      <c r="G228" s="0" t="s">
        <v>1735</v>
      </c>
    </row>
    <row r="229" customFormat="false" ht="15" hidden="false" customHeight="false" outlineLevel="0" collapsed="false">
      <c r="A229" s="0" t="s">
        <v>42</v>
      </c>
      <c r="B229" s="0" t="n">
        <v>26302</v>
      </c>
      <c r="C229" s="0" t="s">
        <v>967</v>
      </c>
      <c r="D229" s="0" t="n">
        <v>6</v>
      </c>
      <c r="E229" s="0" t="n">
        <v>7</v>
      </c>
      <c r="F229" s="0" t="n">
        <v>0</v>
      </c>
      <c r="G229" s="0" t="s">
        <v>1736</v>
      </c>
    </row>
    <row r="230" customFormat="false" ht="15" hidden="false" customHeight="false" outlineLevel="0" collapsed="false">
      <c r="A230" s="0" t="s">
        <v>42</v>
      </c>
      <c r="B230" s="0" t="n">
        <v>26302</v>
      </c>
      <c r="C230" s="0" t="s">
        <v>345</v>
      </c>
      <c r="D230" s="0" t="n">
        <v>11</v>
      </c>
      <c r="E230" s="0" t="n">
        <v>2</v>
      </c>
      <c r="F230" s="0" t="n">
        <v>0</v>
      </c>
      <c r="G230" s="0" t="s">
        <v>1736</v>
      </c>
    </row>
    <row r="231" customFormat="false" ht="15" hidden="false" customHeight="false" outlineLevel="0" collapsed="false">
      <c r="A231" s="0" t="s">
        <v>42</v>
      </c>
      <c r="C231" s="0" t="s">
        <v>1737</v>
      </c>
      <c r="D231" s="0" t="n">
        <v>5</v>
      </c>
      <c r="E231" s="0" t="n">
        <v>0</v>
      </c>
      <c r="F231" s="0" t="n">
        <v>0</v>
      </c>
      <c r="G231" s="0" t="s">
        <v>1738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2026-09-15T04:36:22Z</dcterms:created>
  <dc:creator>openpyxl</dc:creator>
  <dc:description/>
  <dc:language>en-US</dc:language>
  <cp:lastModifiedBy/>
  <dcterms:modified xsi:type="dcterms:W3CDTF">2026-09-15T04:36:23Z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