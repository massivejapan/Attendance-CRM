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INAL" sheetId="1" state="visible" r:id="rId3"/>
    <sheet name="MJLI 13" sheetId="2" state="visible" r:id="rId4"/>
    <sheet name="MJLI 25K" sheetId="3" state="visible" r:id="rId5"/>
    <sheet name="MJLI 12" sheetId="4" state="visible" r:id="rId6"/>
    <sheet name="N4-26A" sheetId="5" state="visible" r:id="rId7"/>
    <sheet name="N4-26B" sheetId="6" state="visible" r:id="rId8"/>
    <sheet name="MJLI 14" sheetId="7" state="visible" r:id="rId9"/>
    <sheet name="MJLI 15" sheetId="8" state="visible" r:id="rId10"/>
    <sheet name="MJLI 16" sheetId="9" state="visible" r:id="rId11"/>
    <sheet name="MJLI 17" sheetId="10" state="visible" r:id="rId12"/>
    <sheet name="MJLI 18" sheetId="11" state="visible" r:id="rId13"/>
    <sheet name="MJLI 19" sheetId="12" state="visible" r:id="rId14"/>
    <sheet name="MJLI 20" sheetId="13" state="visible" r:id="rId15"/>
    <sheet name="N4 26C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<sst xmlns="http://schemas.openxmlformats.org/spreadsheetml/2006/main" count="10005" uniqueCount="258">
  <si>
    <t xml:space="preserve">CONTINUE</t>
  </si>
  <si>
    <t xml:space="preserve">ATTENDANCE SHEET  BATCH-</t>
  </si>
  <si>
    <t xml:space="preserve">BATCH START DATE</t>
  </si>
  <si>
    <t xml:space="preserve">BATCH COMPLETE DATE</t>
  </si>
  <si>
    <t xml:space="preserve">SUNDAY-TUESDAY-THURSDAY</t>
  </si>
  <si>
    <t xml:space="preserve">SHAKIL</t>
  </si>
  <si>
    <t xml:space="preserve">NO</t>
  </si>
  <si>
    <t xml:space="preserve">STUDENT ID</t>
  </si>
  <si>
    <t xml:space="preserve">STUDENT NAME</t>
  </si>
  <si>
    <t xml:space="preserve">P</t>
  </si>
  <si>
    <t xml:space="preserve">A</t>
  </si>
  <si>
    <t xml:space="preserve">E</t>
  </si>
  <si>
    <t xml:space="preserve">MIDDLE CLOSED</t>
  </si>
  <si>
    <t xml:space="preserve">ATTENDANCE SHEET  BATCH- MJLI 13 (10AM TO 12PM)</t>
  </si>
  <si>
    <t xml:space="preserve">Saturday-Monday-Wednesday</t>
  </si>
  <si>
    <t xml:space="preserve">JIHAD</t>
  </si>
  <si>
    <t xml:space="preserve">TONMOY DAS</t>
  </si>
  <si>
    <t xml:space="preserve">OFF DAY</t>
  </si>
  <si>
    <t xml:space="preserve">SHOVO DAS</t>
  </si>
  <si>
    <t xml:space="preserve">MD NOMAN</t>
  </si>
  <si>
    <t xml:space="preserve">JANNATUL FERDOUS AHONA</t>
  </si>
  <si>
    <t xml:space="preserve">BIDHAN  CHANDRA MONDAL</t>
  </si>
  <si>
    <t xml:space="preserve">SIFAT</t>
  </si>
  <si>
    <t xml:space="preserve">ROSNI AKTER</t>
  </si>
  <si>
    <t xml:space="preserve">Mohammad Abdullah</t>
  </si>
  <si>
    <t xml:space="preserve">TAMANNA AKTER</t>
  </si>
  <si>
    <t xml:space="preserve">WAS KURONI HAQUE NIPU</t>
  </si>
  <si>
    <t xml:space="preserve">AKIB</t>
  </si>
  <si>
    <t xml:space="preserve">Hasan Sheikh</t>
  </si>
  <si>
    <t xml:space="preserve">COMPLETE</t>
  </si>
  <si>
    <t xml:space="preserve">ATTENDANCE SHEET  BATCH-25K</t>
  </si>
  <si>
    <t xml:space="preserve">MAM</t>
  </si>
  <si>
    <t xml:space="preserve">Rabbi Mia</t>
  </si>
  <si>
    <t xml:space="preserve">Julian Leon Baroi</t>
  </si>
  <si>
    <t xml:space="preserve">Md Kashfim Dewan</t>
  </si>
  <si>
    <t xml:space="preserve">Imtiaz Ahamed</t>
  </si>
  <si>
    <t xml:space="preserve">Dip Roy</t>
  </si>
  <si>
    <t xml:space="preserve">Amitosh Mondal</t>
  </si>
  <si>
    <t xml:space="preserve">Mst Anika </t>
  </si>
  <si>
    <t xml:space="preserve">Md Tuhin Sarkar</t>
  </si>
  <si>
    <t xml:space="preserve">Rubaya Sultana Rumana</t>
  </si>
  <si>
    <t xml:space="preserve">Md Easin Sonnamat</t>
  </si>
  <si>
    <t xml:space="preserve">Foysal Ahmed </t>
  </si>
  <si>
    <t xml:space="preserve">Md Tanvir Bhuiyan</t>
  </si>
  <si>
    <t xml:space="preserve">Salma Akter</t>
  </si>
  <si>
    <t xml:space="preserve">Angon Sarkar</t>
  </si>
  <si>
    <t xml:space="preserve">Yead Hasan</t>
  </si>
  <si>
    <t xml:space="preserve">Md Easin</t>
  </si>
  <si>
    <t xml:space="preserve">Abdulla Sarkar Ovi</t>
  </si>
  <si>
    <t xml:space="preserve">Sadia Islam  </t>
  </si>
  <si>
    <t xml:space="preserve">Boishakhi Akter</t>
  </si>
  <si>
    <t xml:space="preserve">Shawon</t>
  </si>
  <si>
    <t xml:space="preserve">Shova</t>
  </si>
  <si>
    <t xml:space="preserve">RAPTY</t>
  </si>
  <si>
    <t xml:space="preserve">ATTENDANCE SHEET  BATCH- MJLI 12  (12PM TO 2PM)</t>
  </si>
  <si>
    <t xml:space="preserve">MD ASRAF HOSSAIN</t>
  </si>
  <si>
    <t xml:space="preserve">Offday</t>
  </si>
  <si>
    <t xml:space="preserve">BATCH CHANGED</t>
  </si>
  <si>
    <t xml:space="preserve">MD SOWAYEED SAWBAN</t>
  </si>
  <si>
    <t xml:space="preserve">AYON SAHA</t>
  </si>
  <si>
    <t xml:space="preserve">MORSALIN SHEIKH</t>
  </si>
  <si>
    <t xml:space="preserve">RIFAT HOSSEN</t>
  </si>
  <si>
    <t xml:space="preserve">MD  JUNAYED HOSSAIN OMI</t>
  </si>
  <si>
    <t xml:space="preserve">SUMAIYA ISLAM</t>
  </si>
  <si>
    <t xml:space="preserve">Lamia Akter</t>
  </si>
  <si>
    <t xml:space="preserve">Nushrat Jahan</t>
  </si>
  <si>
    <t xml:space="preserve">Sumit</t>
  </si>
  <si>
    <t xml:space="preserve">RAYHAN MIAH</t>
  </si>
  <si>
    <t xml:space="preserve">BIDHAN CHANDRA MONDAL</t>
  </si>
  <si>
    <t xml:space="preserve">ATTENDANCE SHEET  BATCH-N4</t>
  </si>
  <si>
    <t xml:space="preserve">Sat Mon Wed</t>
  </si>
  <si>
    <t xml:space="preserve">SATARDAY-MONDAY-WEDNESDAY</t>
  </si>
  <si>
    <t xml:space="preserve">NAZRUL ISLAM</t>
  </si>
  <si>
    <t xml:space="preserve">JARIN MONI</t>
  </si>
  <si>
    <t xml:space="preserve">TOUFIK AHMED</t>
  </si>
  <si>
    <t xml:space="preserve">TAWHID</t>
  </si>
  <si>
    <t xml:space="preserve">TANBIR ARAFAT</t>
  </si>
  <si>
    <t xml:space="preserve">MUSHFIQ MAHMUD</t>
  </si>
  <si>
    <t xml:space="preserve">MD FARDIN</t>
  </si>
  <si>
    <t xml:space="preserve">MD EMON</t>
  </si>
  <si>
    <t xml:space="preserve">TAMIM</t>
  </si>
  <si>
    <t xml:space="preserve">ANAMUL SABBIR</t>
  </si>
  <si>
    <t xml:space="preserve">SIAM DEWAN</t>
  </si>
  <si>
    <t xml:space="preserve">SALMA</t>
  </si>
  <si>
    <t xml:space="preserve">ZUBAYER AHMED</t>
  </si>
  <si>
    <t xml:space="preserve">ALL JUBAIR</t>
  </si>
  <si>
    <t xml:space="preserve">IKHTIAR AHMED</t>
  </si>
  <si>
    <t xml:space="preserve">ATTENDANCE SHEET  BATCH- N4 (4-6)</t>
  </si>
  <si>
    <t xml:space="preserve">JLPT</t>
  </si>
  <si>
    <t xml:space="preserve">RAIN</t>
  </si>
  <si>
    <t xml:space="preserve">TANVIR ISLAM</t>
  </si>
  <si>
    <t xml:space="preserve">HASIBUL ALOM RAPTY</t>
  </si>
  <si>
    <t xml:space="preserve">SALMA AKTER</t>
  </si>
  <si>
    <t xml:space="preserve">DIP ROY</t>
  </si>
  <si>
    <t xml:space="preserve">RABBY MIA</t>
  </si>
  <si>
    <t xml:space="preserve">NUSHRAT</t>
  </si>
  <si>
    <t xml:space="preserve">FAYSAL</t>
  </si>
  <si>
    <t xml:space="preserve">SOHANUR RAHMAN </t>
  </si>
  <si>
    <t xml:space="preserve">SADIA  ISLAM</t>
  </si>
  <si>
    <t xml:space="preserve">NAHAR SHOVA</t>
  </si>
  <si>
    <t xml:space="preserve">IBRAHIM HASAN</t>
  </si>
  <si>
    <t xml:space="preserve">RIFAT SIKDER</t>
  </si>
  <si>
    <t xml:space="preserve">RAYHAN KHAN</t>
  </si>
  <si>
    <t xml:space="preserve">MIRAJ </t>
  </si>
  <si>
    <t xml:space="preserve">NIYAZ MORSHED</t>
  </si>
  <si>
    <t xml:space="preserve">EASIN</t>
  </si>
  <si>
    <t xml:space="preserve">SAIKAT</t>
  </si>
  <si>
    <t xml:space="preserve">ATTENDANCE SHEET  BATCH-MJLI 14</t>
  </si>
  <si>
    <t xml:space="preserve">SHAKIL MAHMUD</t>
  </si>
  <si>
    <t xml:space="preserve">NAZRUL ISLAN</t>
  </si>
  <si>
    <t xml:space="preserve">Sinthea</t>
  </si>
  <si>
    <t xml:space="preserve">Jannatul Islam Hridika</t>
  </si>
  <si>
    <t xml:space="preserve">Rokibul Islam</t>
  </si>
  <si>
    <t xml:space="preserve">Fahim Islam Rahim</t>
  </si>
  <si>
    <t xml:space="preserve">Jannatul Ferdusi Sima</t>
  </si>
  <si>
    <t xml:space="preserve">Meherab Hossain</t>
  </si>
  <si>
    <t xml:space="preserve">Amit Ghosh</t>
  </si>
  <si>
    <t xml:space="preserve">MD. Shamim Sheikh</t>
  </si>
  <si>
    <t xml:space="preserve">SAJIB SARKAR</t>
  </si>
  <si>
    <t xml:space="preserve">HASAN SHEIKH</t>
  </si>
  <si>
    <t xml:space="preserve">NIPU</t>
  </si>
  <si>
    <t xml:space="preserve">TAMANNA</t>
  </si>
  <si>
    <t xml:space="preserve">NOMAN</t>
  </si>
  <si>
    <t xml:space="preserve">MD. JISAN</t>
  </si>
  <si>
    <t xml:space="preserve">ATTENDANCE SHEET  BATCH-MJLI 15</t>
  </si>
  <si>
    <t xml:space="preserve">SHOFIQUL ISLAM</t>
  </si>
  <si>
    <t xml:space="preserve">MD KOWSER SEIKH</t>
  </si>
  <si>
    <t xml:space="preserve">MOHAMMAD YEASIN</t>
  </si>
  <si>
    <t xml:space="preserve">SIFAT MOLLAH</t>
  </si>
  <si>
    <t xml:space="preserve">ISTIAK AHMED</t>
  </si>
  <si>
    <t xml:space="preserve">MD RAYHAN MIA</t>
  </si>
  <si>
    <t xml:space="preserve">ARIF HOSSAIN MUNNA</t>
  </si>
  <si>
    <t xml:space="preserve">SANJIDA KHAN SHUCHI</t>
  </si>
  <si>
    <t xml:space="preserve">AKASH KHAN</t>
  </si>
  <si>
    <t xml:space="preserve">URMI AKTER</t>
  </si>
  <si>
    <t xml:space="preserve">TUSHAR BHUIYAN</t>
  </si>
  <si>
    <t xml:space="preserve">LIPON BAWALI</t>
  </si>
  <si>
    <t xml:space="preserve">ATIKUR RAHMAN SINHAT</t>
  </si>
  <si>
    <t xml:space="preserve">IBRAHIM SARKAR</t>
  </si>
  <si>
    <t xml:space="preserve">LAMIYA  UMMA SADIA</t>
  </si>
  <si>
    <t xml:space="preserve">AMIMUL EHASAN</t>
  </si>
  <si>
    <t xml:space="preserve">MEHEDI</t>
  </si>
  <si>
    <t xml:space="preserve">SUMON HOSSAIN</t>
  </si>
  <si>
    <t xml:space="preserve">MORSHALIN MAHI</t>
  </si>
  <si>
    <t xml:space="preserve">FAHAD</t>
  </si>
  <si>
    <t xml:space="preserve">GOPAL</t>
  </si>
  <si>
    <t xml:space="preserve">SAIMUR RAHMAN SIAM</t>
  </si>
  <si>
    <t xml:space="preserve">WAHIDUL ISLAM SAFAYET</t>
  </si>
  <si>
    <t xml:space="preserve">TANBIR BHUIYAN</t>
  </si>
  <si>
    <t xml:space="preserve">ATTENDANCE SHEET  BATCH- MJLI-16</t>
  </si>
  <si>
    <t xml:space="preserve">SOFIQUL ISLAM</t>
  </si>
  <si>
    <t xml:space="preserve">MD. RUHULLAH SEAM</t>
  </si>
  <si>
    <t xml:space="preserve">SAMIR HOSSAIN</t>
  </si>
  <si>
    <t xml:space="preserve">MD ALI AZGOR</t>
  </si>
  <si>
    <t xml:space="preserve">LUCKY ISLAM</t>
  </si>
  <si>
    <t xml:space="preserve">MD. FAHIM RAHMAN</t>
  </si>
  <si>
    <t xml:space="preserve">MD SHAWON</t>
  </si>
  <si>
    <t xml:space="preserve">MD. SAYEB REDWAN</t>
  </si>
  <si>
    <t xml:space="preserve">MEHEDI HASSAN</t>
  </si>
  <si>
    <t xml:space="preserve">TANVEER HOSSAIN ANTOR</t>
  </si>
  <si>
    <t xml:space="preserve">AHAD HOSSAIN KIRON</t>
  </si>
  <si>
    <t xml:space="preserve">MD. ALVI HAQUE</t>
  </si>
  <si>
    <t xml:space="preserve">MD RAKIB VUIYA</t>
  </si>
  <si>
    <t xml:space="preserve">FIFASA</t>
  </si>
  <si>
    <t xml:space="preserve">MOHAMMAD NAIM</t>
  </si>
  <si>
    <t xml:space="preserve">SALIM UDDIN</t>
  </si>
  <si>
    <t xml:space="preserve">MOHAMMAD AKASH</t>
  </si>
  <si>
    <t xml:space="preserve">AMINUL ISLAM JISUN</t>
  </si>
  <si>
    <t xml:space="preserve">ATTENDANCE SHEET  BATCH-MJLI 17</t>
  </si>
  <si>
    <t xml:space="preserve">MIM KHAN</t>
  </si>
  <si>
    <t xml:space="preserve">SAIFUL ISLAM</t>
  </si>
  <si>
    <t xml:space="preserve">HRIDOY HOSSAIN</t>
  </si>
  <si>
    <t xml:space="preserve">SAMI BIN SAIF ARAF</t>
  </si>
  <si>
    <t xml:space="preserve">ANAS ABDULLAH</t>
  </si>
  <si>
    <t xml:space="preserve">PARVEZ AHAMMAD TOPU</t>
  </si>
  <si>
    <t xml:space="preserve">ASSHAD KHAN</t>
  </si>
  <si>
    <t xml:space="preserve">RASEL HALDER</t>
  </si>
  <si>
    <t xml:space="preserve">ARIFA AKTER</t>
  </si>
  <si>
    <t xml:space="preserve">MAHAMUDUL HASAN JIHAD</t>
  </si>
  <si>
    <t xml:space="preserve">MD ABU SAYEED SAYMON</t>
  </si>
  <si>
    <t xml:space="preserve">MOHAMMAD ARAFAT</t>
  </si>
  <si>
    <t xml:space="preserve">NAZMUL HASAN MAZUMDER</t>
  </si>
  <si>
    <t xml:space="preserve">MD POLASH MIA</t>
  </si>
  <si>
    <t xml:space="preserve"> AMINUL ISLAM JISAN</t>
  </si>
  <si>
    <t xml:space="preserve">ATTENDANCE SHEET  BATCH-MJLI  18</t>
  </si>
  <si>
    <t xml:space="preserve">SANJIDA SUMAIYA</t>
  </si>
  <si>
    <t xml:space="preserve">ZIDAN HOSSAIN</t>
  </si>
  <si>
    <t xml:space="preserve">ABU BOKKOR ALVI</t>
  </si>
  <si>
    <t xml:space="preserve">ATAUR RAHMAN PATOARY</t>
  </si>
  <si>
    <t xml:space="preserve">MD YEASIN ARAFAT</t>
  </si>
  <si>
    <t xml:space="preserve">POLOK SARKAR</t>
  </si>
  <si>
    <t xml:space="preserve">MOHAMMAD ALOM</t>
  </si>
  <si>
    <t xml:space="preserve">MD MIRAJ HOSSAIN MOJUMDER</t>
  </si>
  <si>
    <t xml:space="preserve">MAISHA RAHMAN</t>
  </si>
  <si>
    <t xml:space="preserve">WAFA ALOM </t>
  </si>
  <si>
    <t xml:space="preserve">AYESHA</t>
  </si>
  <si>
    <t xml:space="preserve">BOISHAKHI AKTER</t>
  </si>
  <si>
    <t xml:space="preserve">AL MAHMUD AKTAZ</t>
  </si>
  <si>
    <t xml:space="preserve">SAZZAD BEPARI</t>
  </si>
  <si>
    <t xml:space="preserve">AYSHA AKHTER RIA</t>
  </si>
  <si>
    <t xml:space="preserve">FAHAD HOSSAIN</t>
  </si>
  <si>
    <t xml:space="preserve"> MOHAMMAD NAIM</t>
  </si>
  <si>
    <t xml:space="preserve">PIPASHA ROY</t>
  </si>
  <si>
    <t xml:space="preserve">ATTENDANCE SHEET  BATCH- MJLI19</t>
  </si>
  <si>
    <t xml:space="preserve">MD NUR ALOM</t>
  </si>
  <si>
    <t xml:space="preserve">IBRAHIM</t>
  </si>
  <si>
    <t xml:space="preserve">EVA</t>
  </si>
  <si>
    <t xml:space="preserve">NAIMA ISLAM NISHAT</t>
  </si>
  <si>
    <t xml:space="preserve">SAIF IQBAL PULOK</t>
  </si>
  <si>
    <t xml:space="preserve">MD IMTIAZ AHMED</t>
  </si>
  <si>
    <t xml:space="preserve">SIAM DOKANDER</t>
  </si>
  <si>
    <t xml:space="preserve">MOHAMMAD ALIF</t>
  </si>
  <si>
    <t xml:space="preserve">AL-RAFI ISHMUM MRIDHA</t>
  </si>
  <si>
    <t xml:space="preserve">SANTO MOLLICK</t>
  </si>
  <si>
    <t xml:space="preserve">MEHEDI HASAN</t>
  </si>
  <si>
    <t xml:space="preserve">SHAH PORAN</t>
  </si>
  <si>
    <t xml:space="preserve">ATTENDANCE SHEET  BATCH-MJLI 20</t>
  </si>
  <si>
    <t xml:space="preserve">TANVIR ISLAMN</t>
  </si>
  <si>
    <t xml:space="preserve">MD. KAWSAR HOSSAIN</t>
  </si>
  <si>
    <t xml:space="preserve">SIAM RAHMAN</t>
  </si>
  <si>
    <t xml:space="preserve">ALIDE HOSSAIN SIFAT</t>
  </si>
  <si>
    <t xml:space="preserve">MST MAHIYA</t>
  </si>
  <si>
    <t xml:space="preserve">MAHIR IQBAL PULOK</t>
  </si>
  <si>
    <t xml:space="preserve">RUBAYA SULTANA RUMANA</t>
  </si>
  <si>
    <t xml:space="preserve">TAIF ISLAM SIAM</t>
  </si>
  <si>
    <t xml:space="preserve">RIFAT </t>
  </si>
  <si>
    <t xml:space="preserve">MD SAYEM AHMED</t>
  </si>
  <si>
    <t xml:space="preserve">INSAN HOSSEN EMON</t>
  </si>
  <si>
    <t xml:space="preserve">MAHMUDA RAHAMAN RIDITA</t>
  </si>
  <si>
    <t xml:space="preserve">MD SOHAN</t>
  </si>
  <si>
    <t xml:space="preserve">MD JUBAEAR</t>
  </si>
  <si>
    <t xml:space="preserve">MD JUNAED </t>
  </si>
  <si>
    <t xml:space="preserve">MD ZIHAD</t>
  </si>
  <si>
    <t xml:space="preserve">ABU TALEB</t>
  </si>
  <si>
    <t xml:space="preserve">MUJTABA RAFID</t>
  </si>
  <si>
    <t xml:space="preserve">MD RAKIBUL HASSAN RABBI</t>
  </si>
  <si>
    <t xml:space="preserve">MD RASEL DHALI</t>
  </si>
  <si>
    <t xml:space="preserve">ASIKUR RAHMAN JOY</t>
  </si>
  <si>
    <t xml:space="preserve">MD SOHAG</t>
  </si>
  <si>
    <t xml:space="preserve">FATEMA KHATUN MIM</t>
  </si>
  <si>
    <t xml:space="preserve">SHWIKOT SARKER RUDRA</t>
  </si>
  <si>
    <t xml:space="preserve">BAKUL AKTER</t>
  </si>
  <si>
    <t xml:space="preserve">SWIBAL SARKAR DRUVO </t>
  </si>
  <si>
    <t xml:space="preserve">LUBNA AKTER</t>
  </si>
  <si>
    <t xml:space="preserve">SUMAIYA </t>
  </si>
  <si>
    <t xml:space="preserve">MAHMUD HASAN</t>
  </si>
  <si>
    <t xml:space="preserve">ATTENDANCE SHEET  BATCH- N4 26C</t>
  </si>
  <si>
    <t xml:space="preserve">KAWSHAR HASAN SUMIT</t>
  </si>
  <si>
    <t xml:space="preserve">JANNATUL FERDOUS AHONA </t>
  </si>
  <si>
    <t xml:space="preserve">MD SHEFAT RAHMAN</t>
  </si>
  <si>
    <t xml:space="preserve">MORSHALIN SHEIKH</t>
  </si>
  <si>
    <t xml:space="preserve">RIFAT HASAN</t>
  </si>
  <si>
    <t xml:space="preserve">AMIT GOSH</t>
  </si>
  <si>
    <t xml:space="preserve">JANNATUL ISLAM HRIDIKA</t>
  </si>
  <si>
    <t xml:space="preserve">ROKIBUL ISLAM</t>
  </si>
  <si>
    <t xml:space="preserve">MEHERAB HOSSAIN</t>
  </si>
  <si>
    <t xml:space="preserve">WAZ KURONI HAQUE NIPU</t>
  </si>
  <si>
    <t xml:space="preserve">ABDUL MANNAN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</si>
</sst>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\-yyyy"/>
    <numFmt numFmtId="166" formatCode="d\-mmmm\-yyyy"/>
    <numFmt numFmtId="167" formatCode="d\-mmm"/>
    <numFmt numFmtId="168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5"/>
      <color rgb="FF741B47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2CC"/>
      <name val="Arial"/>
      <family val="0"/>
      <charset val="1"/>
    </font>
    <font>
      <b val="true"/>
      <sz val="14"/>
      <color rgb="FF351C7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7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38761D"/>
        <bgColor rgb="FF339966"/>
      </patternFill>
    </fill>
    <fill>
      <patternFill patternType="solid">
        <fgColor rgb="FF93C47D"/>
        <bgColor rgb="FF969696"/>
      </patternFill>
    </fill>
    <fill>
      <patternFill patternType="solid">
        <fgColor rgb="FF0C343D"/>
        <bgColor rgb="FF003300"/>
      </patternFill>
    </fill>
    <fill>
      <patternFill patternType="solid">
        <fgColor rgb="FF674EA7"/>
        <bgColor rgb="FF993366"/>
      </patternFill>
    </fill>
    <fill>
      <patternFill patternType="solid">
        <fgColor theme="8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CC0000"/>
      </patternFill>
    </fill>
    <fill>
      <patternFill patternType="solid">
        <fgColor rgb="FFEA9999"/>
        <bgColor rgb="FFCC99FF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2CC"/>
      </patternFill>
    </fill>
    <fill>
      <patternFill patternType="solid">
        <fgColor rgb="FFE8E7FC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D0E0E3"/>
        <bgColor rgb="FFE8E7F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0000"/>
      </left>
      <right/>
      <top style="thin">
        <color rgb="FFCC0000"/>
      </top>
      <bottom style="thin">
        <color rgb="FFCC0000"/>
      </bottom>
      <diagonal/>
    </border>
    <border diagonalUp="false" diagonalDown="false">
      <left/>
      <right style="thin">
        <color rgb="FFCC0000"/>
      </right>
      <top style="thin">
        <color rgb="FFCC0000"/>
      </top>
      <bottom style="thin">
        <color rgb="FFCC0000"/>
      </bottom>
      <diagonal/>
    </border>
    <border diagonalUp="false" diagonalDown="false">
      <left style="thin">
        <color rgb="FFCC0000"/>
      </left>
      <right style="thin">
        <color rgb="FFCC0000"/>
      </right>
      <top/>
      <bottom style="thin">
        <color rgb="FFCC0000"/>
      </bottom>
      <diagonal/>
    </border>
    <border diagonalUp="false" diagonalDown="false">
      <left style="thin">
        <color rgb="FFCC0000"/>
      </left>
      <right style="thin">
        <color rgb="FFCC0000"/>
      </right>
      <top style="thin">
        <color rgb="FFCC0000"/>
      </top>
      <bottom/>
      <diagonal/>
    </border>
    <border diagonalUp="false" diagonalDown="false"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  <diagonal/>
    </border>
    <border diagonalUp="false" diagonalDown="false"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  <diagonal/>
    </border>
    <border diagonalUp="false" diagonalDown="false">
      <left style="thin">
        <color rgb="FFCC4125"/>
      </left>
      <right style="thin">
        <color rgb="FFCC4125"/>
      </right>
      <top style="thin">
        <color rgb="FFCC4125"/>
      </top>
      <bottom style="thin">
        <color rgb="FFCC4125"/>
      </bottom>
      <diagonal/>
    </border>
    <border diagonalUp="false" diagonalDown="false">
      <left style="thin">
        <color rgb="FFCC4125"/>
      </left>
      <right/>
      <top style="thin">
        <color rgb="FFCC4125"/>
      </top>
      <bottom style="thin">
        <color rgb="FFCC4125"/>
      </bottom>
      <diagonal/>
    </border>
    <border diagonalUp="false" diagonalDown="false">
      <left style="thin">
        <color rgb="FFCC0000"/>
      </left>
      <right/>
      <top style="thin">
        <color rgb="FFCC0000"/>
      </top>
      <bottom/>
      <diagonal/>
    </border>
    <border diagonalUp="false" diagonalDown="false">
      <left style="thin">
        <color rgb="FFCC4125"/>
      </left>
      <right/>
      <top style="thin">
        <color rgb="FFCC4125"/>
      </top>
      <bottom/>
      <diagonal/>
    </border>
    <border diagonalUp="false" diagonalDown="false">
      <left style="thin">
        <color rgb="FFE06666"/>
      </left>
      <right style="thin">
        <color rgb="FFE06666"/>
      </right>
      <top style="thin">
        <color rgb="FFE06666"/>
      </top>
      <bottom/>
      <diagonal/>
    </border>
    <border diagonalUp="false" diagonalDown="false">
      <left/>
      <right style="thin">
        <color rgb="FFCC0000"/>
      </right>
      <top style="thin">
        <color rgb="FFCC0000"/>
      </top>
      <bottom/>
      <diagonal/>
    </border>
    <border diagonalUp="false" diagonalDown="false">
      <left style="thin">
        <color rgb="FFCC0000"/>
      </left>
      <right/>
      <top/>
      <bottom/>
      <diagonal/>
    </border>
    <border diagonalUp="false" diagonalDown="false">
      <left style="thin">
        <color rgb="FFCC4125"/>
      </left>
      <right/>
      <top/>
      <bottom/>
      <diagonal/>
    </border>
    <border diagonalUp="false" diagonalDown="false">
      <left style="thin">
        <color rgb="FFE06666"/>
      </left>
      <right style="thin">
        <color rgb="FFE06666"/>
      </right>
      <top/>
      <bottom style="thin">
        <color rgb="FFE06666"/>
      </bottom>
      <diagonal/>
    </border>
    <border diagonalUp="false" diagonalDown="false">
      <left/>
      <right style="thin">
        <color rgb="FFCC0000"/>
      </right>
      <top/>
      <bottom/>
      <diagonal/>
    </border>
    <border diagonalUp="false" diagonalDown="false">
      <left style="thin">
        <color rgb="FFCC0000"/>
      </left>
      <right style="thin">
        <color rgb="FFCC0000"/>
      </right>
      <top/>
      <bottom/>
      <diagonal/>
    </border>
    <border diagonalUp="false" diagonalDown="false">
      <left style="thin">
        <color rgb="FFCC4125"/>
      </left>
      <right style="thin">
        <color rgb="FFCC4125"/>
      </right>
      <top style="thin">
        <color rgb="FFCC4125"/>
      </top>
      <bottom/>
      <diagonal/>
    </border>
    <border diagonalUp="false" diagonalDown="false">
      <left/>
      <right style="thin">
        <color rgb="FFCC4125"/>
      </right>
      <top style="thin">
        <color rgb="FFCC4125"/>
      </top>
      <bottom/>
      <diagonal/>
    </border>
    <border diagonalUp="false" diagonalDown="false"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8E7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38761D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2CC"/>
      <rgbColor rgb="FFE8E7FC"/>
      <rgbColor rgb="FF741B47"/>
      <rgbColor rgb="FFE06666"/>
      <rgbColor rgb="FF0066CC"/>
      <rgbColor rgb="FFD0E0E3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D966"/>
      <rgbColor rgb="FF3366FF"/>
      <rgbColor rgb="FF33CCCC"/>
      <rgbColor rgb="FF99CC00"/>
      <rgbColor rgb="FFFFCC00"/>
      <rgbColor rgb="FFFF9900"/>
      <rgbColor rgb="FFFF6D01"/>
      <rgbColor rgb="FF674EA7"/>
      <rgbColor rgb="FF969696"/>
      <rgbColor rgb="FF0C343D"/>
      <rgbColor rgb="FF339966"/>
      <rgbColor rgb="FF003300"/>
      <rgbColor rgb="FF333300"/>
      <rgbColor rgb="FFCC4125"/>
      <rgbColor rgb="FF993366"/>
      <rgbColor rgb="FF351C7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10:B28" headerRowCount="0" totalsRowCount="0" totalsRowShown="0">
  <tableColumns count="1">
    <tableColumn id="1" name="Column1"/>
  </tableColumns>
</table>
</file>

<file path=xl/tables/table2.xml><?xml version="1.0" encoding="utf-8"?>
<table xmlns="http://schemas.openxmlformats.org/spreadsheetml/2006/main" id="2" name="Table_2" displayName="Table_2" ref="C10:C31" headerRowCount="0" totalsRowCount="0" totalsRowShown="0">
  <tableColumns count="1">
    <tableColumn id="1" name="Column1"/>
  </tableColumns>
</table>
</file>

<file path=xl/tables/table3.xml><?xml version="1.0" encoding="utf-8"?>
<table xmlns="http://schemas.openxmlformats.org/spreadsheetml/2006/main" id="3" name="Table_3" displayName="Table_3" ref="C10:C25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0" topLeftCell="G1" activePane="topRight" state="frozen"/>
      <selection pane="topLeft" activeCell="A1" activeCellId="0" sqref="A1"/>
      <selection pane="topRigh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1.38"/>
    <col collapsed="false" customWidth="true" hidden="false" outlineLevel="0" max="3" min="3" style="0" width="20.38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G2" s="3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46054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46142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46054</v>
      </c>
      <c r="H9" s="15" t="n">
        <f aca="false">G9+2</f>
        <v>46056</v>
      </c>
      <c r="I9" s="15" t="n">
        <f aca="false">H9+2</f>
        <v>46058</v>
      </c>
      <c r="J9" s="15" t="n">
        <f aca="false">I9+3</f>
        <v>46061</v>
      </c>
      <c r="K9" s="15" t="n">
        <f aca="false">J9+2</f>
        <v>46063</v>
      </c>
      <c r="L9" s="15" t="n">
        <f aca="false">K9+2</f>
        <v>46065</v>
      </c>
      <c r="M9" s="15" t="n">
        <f aca="false">L9+3</f>
        <v>46068</v>
      </c>
      <c r="N9" s="15" t="n">
        <f aca="false">M9+2</f>
        <v>46070</v>
      </c>
      <c r="O9" s="15" t="n">
        <f aca="false">N9+2</f>
        <v>46072</v>
      </c>
      <c r="P9" s="15" t="n">
        <f aca="false">O9+3</f>
        <v>46075</v>
      </c>
      <c r="Q9" s="15" t="n">
        <f aca="false">P9+2</f>
        <v>46077</v>
      </c>
      <c r="R9" s="15" t="n">
        <f aca="false">Q9+2</f>
        <v>46079</v>
      </c>
      <c r="S9" s="15" t="n">
        <f aca="false">R9+3</f>
        <v>46082</v>
      </c>
      <c r="T9" s="15" t="n">
        <f aca="false">S9+2</f>
        <v>46084</v>
      </c>
      <c r="U9" s="15" t="n">
        <f aca="false">T9+2</f>
        <v>46086</v>
      </c>
      <c r="V9" s="15" t="n">
        <f aca="false">U9+3</f>
        <v>46089</v>
      </c>
      <c r="W9" s="15" t="n">
        <f aca="false">V9+2</f>
        <v>46091</v>
      </c>
      <c r="X9" s="15" t="n">
        <f aca="false">W9+2</f>
        <v>46093</v>
      </c>
      <c r="Y9" s="15" t="n">
        <f aca="false">X9+3</f>
        <v>46096</v>
      </c>
      <c r="Z9" s="15" t="n">
        <f aca="false">Y9+2</f>
        <v>46098</v>
      </c>
      <c r="AA9" s="15" t="n">
        <f aca="false">Z9+2</f>
        <v>46100</v>
      </c>
      <c r="AB9" s="15" t="n">
        <f aca="false">AA9+3</f>
        <v>46103</v>
      </c>
      <c r="AC9" s="15" t="n">
        <f aca="false">AB9+2</f>
        <v>46105</v>
      </c>
      <c r="AD9" s="15" t="n">
        <f aca="false">AC9+2</f>
        <v>46107</v>
      </c>
      <c r="AE9" s="15" t="n">
        <f aca="false">AD9+3</f>
        <v>46110</v>
      </c>
      <c r="AF9" s="15" t="n">
        <f aca="false">AE9+2</f>
        <v>46112</v>
      </c>
      <c r="AG9" s="15" t="n">
        <f aca="false">AF9+2</f>
        <v>46114</v>
      </c>
      <c r="AH9" s="15" t="n">
        <f aca="false">AG9+3</f>
        <v>46117</v>
      </c>
      <c r="AI9" s="15" t="n">
        <f aca="false">AH9+2</f>
        <v>46119</v>
      </c>
      <c r="AJ9" s="15" t="n">
        <f aca="false">AI9+2</f>
        <v>46121</v>
      </c>
      <c r="AK9" s="15" t="n">
        <f aca="false">AJ9+3</f>
        <v>46124</v>
      </c>
      <c r="AL9" s="15" t="n">
        <f aca="false">AK9+2</f>
        <v>46126</v>
      </c>
      <c r="AM9" s="15" t="n">
        <f aca="false">AL9+2</f>
        <v>46128</v>
      </c>
      <c r="AN9" s="15" t="n">
        <f aca="false">AM9+3</f>
        <v>46131</v>
      </c>
      <c r="AO9" s="15" t="n">
        <f aca="false">AN9+2</f>
        <v>46133</v>
      </c>
      <c r="AP9" s="15" t="n">
        <f aca="false">AO9+2</f>
        <v>46135</v>
      </c>
      <c r="AQ9" s="15" t="n">
        <f aca="false">AP9+3</f>
        <v>46138</v>
      </c>
      <c r="AR9" s="15" t="n">
        <f aca="false">AQ9+2</f>
        <v>46140</v>
      </c>
      <c r="AS9" s="15" t="n">
        <f aca="false">AR9+2</f>
        <v>46142</v>
      </c>
      <c r="AT9" s="15" t="n">
        <f aca="false">AS9+3</f>
        <v>46145</v>
      </c>
      <c r="AU9" s="15" t="n">
        <f aca="false">AT9+2</f>
        <v>46147</v>
      </c>
      <c r="AV9" s="15" t="n">
        <f aca="false">AU9+2</f>
        <v>46149</v>
      </c>
      <c r="AW9" s="15" t="n">
        <f aca="false">AV9+3</f>
        <v>46152</v>
      </c>
      <c r="AX9" s="15" t="n">
        <f aca="false">AW9+2</f>
        <v>46154</v>
      </c>
      <c r="AY9" s="15" t="n">
        <f aca="false">AX9+2</f>
        <v>46156</v>
      </c>
      <c r="AZ9" s="15" t="n">
        <f aca="false">AY9+3</f>
        <v>46159</v>
      </c>
      <c r="BA9" s="15" t="n">
        <f aca="false">AZ9+2</f>
        <v>46161</v>
      </c>
      <c r="BB9" s="15" t="n">
        <f aca="false">BA9+2</f>
        <v>46163</v>
      </c>
      <c r="BC9" s="15" t="n">
        <f aca="false">BB9+3</f>
        <v>46166</v>
      </c>
      <c r="BD9" s="15" t="n">
        <f aca="false">BC9+2</f>
        <v>46168</v>
      </c>
      <c r="BE9" s="15" t="n">
        <f aca="false">BD9+2</f>
        <v>46170</v>
      </c>
      <c r="BF9" s="15" t="n">
        <f aca="false">BE9+3</f>
        <v>46173</v>
      </c>
      <c r="BG9" s="15" t="n">
        <f aca="false">BF9+2</f>
        <v>46175</v>
      </c>
      <c r="BH9" s="15" t="n">
        <f aca="false">BG9+2</f>
        <v>46177</v>
      </c>
      <c r="BI9" s="15" t="n">
        <f aca="false">BH9+3</f>
        <v>46180</v>
      </c>
      <c r="BJ9" s="15" t="n">
        <f aca="false">BI9+2</f>
        <v>46182</v>
      </c>
      <c r="BK9" s="15" t="n">
        <f aca="false">BJ9+2</f>
        <v>46184</v>
      </c>
      <c r="BL9" s="15" t="n">
        <f aca="false">BK9+3</f>
        <v>46187</v>
      </c>
      <c r="BM9" s="15" t="n">
        <f aca="false">BL9+2</f>
        <v>46189</v>
      </c>
      <c r="BN9" s="15" t="n">
        <f aca="false">BM9+2</f>
        <v>46191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/>
      <c r="B10" s="17"/>
      <c r="C10" s="17"/>
      <c r="D10" s="17" t="n">
        <f aca="false">COUNTIF($G10:$BN10,D$9)</f>
        <v>0</v>
      </c>
      <c r="E10" s="17" t="n">
        <f aca="false">COUNTIF($G10:$BN10,E$9)</f>
        <v>0</v>
      </c>
      <c r="F10" s="17" t="n">
        <f aca="false">COUNTIF($G10:$BN10,F$9)</f>
        <v>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/>
      <c r="B11" s="17"/>
      <c r="C11" s="17"/>
      <c r="D11" s="17" t="n">
        <f aca="false">COUNTIF($G11:$BN11,D$9)</f>
        <v>0</v>
      </c>
      <c r="E11" s="17" t="n">
        <f aca="false">COUNTIF($G11:$BN11,E$9)</f>
        <v>0</v>
      </c>
      <c r="F11" s="17" t="n">
        <f aca="false">COUNTIF($G11:$BN11,F$9)</f>
        <v>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/>
      <c r="B12" s="17"/>
      <c r="C12" s="17"/>
      <c r="D12" s="17" t="n">
        <f aca="false">COUNTIF($G12:$BN12,D$9)</f>
        <v>0</v>
      </c>
      <c r="E12" s="17" t="n">
        <f aca="false">COUNTIF($G12:$BN12,E$9)</f>
        <v>0</v>
      </c>
      <c r="F12" s="17" t="n">
        <f aca="false">COUNTIF($G12:$BN12,F$9)</f>
        <v>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/>
      <c r="B13" s="17"/>
      <c r="C13" s="17"/>
      <c r="D13" s="17" t="n">
        <f aca="false">COUNTIF($G13:$BN13,D$9)</f>
        <v>0</v>
      </c>
      <c r="E13" s="17" t="n">
        <f aca="false">COUNTIF($G13:$BN13,E$9)</f>
        <v>0</v>
      </c>
      <c r="F13" s="17" t="n">
        <f aca="false">COUNTIF($G13:$BN13,F$9)</f>
        <v>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/>
      <c r="B14" s="17"/>
      <c r="C14" s="17"/>
      <c r="D14" s="17" t="n">
        <f aca="false">COUNTIF($G14:$BN14,D$9)</f>
        <v>0</v>
      </c>
      <c r="E14" s="17" t="n">
        <f aca="false">COUNTIF($G14:$BN14,E$9)</f>
        <v>0</v>
      </c>
      <c r="F14" s="17" t="n">
        <f aca="false">COUNTIF($G14:$BN14,F$9)</f>
        <v>0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/>
      <c r="B15" s="17"/>
      <c r="C15" s="17"/>
      <c r="D15" s="17" t="n">
        <f aca="false">COUNTIF($G15:$BN15,D$9)</f>
        <v>0</v>
      </c>
      <c r="E15" s="17" t="n">
        <f aca="false">COUNTIF($G15:$BN15,E$9)</f>
        <v>0</v>
      </c>
      <c r="F15" s="17" t="n">
        <f aca="false">COUNTIF($G15:$BN15,F$9)</f>
        <v>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/>
      <c r="B16" s="17"/>
      <c r="C16" s="17"/>
      <c r="D16" s="17" t="n">
        <f aca="false">COUNTIF($G16:$BN16,D$9)</f>
        <v>0</v>
      </c>
      <c r="E16" s="17" t="n">
        <f aca="false">COUNTIF($G16:$BN16,E$9)</f>
        <v>0</v>
      </c>
      <c r="F16" s="17" t="n">
        <f aca="false">COUNTIF($G16:$BN16,F$9)</f>
        <v>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/>
      <c r="B17" s="17"/>
      <c r="C17" s="17"/>
      <c r="D17" s="17" t="n">
        <f aca="false">COUNTIF($G17:$BN17,D$9)</f>
        <v>0</v>
      </c>
      <c r="E17" s="17" t="n">
        <f aca="false">COUNTIF($G17:$BN17,E$9)</f>
        <v>0</v>
      </c>
      <c r="F17" s="17" t="n">
        <f aca="false">COUNTIF($G17:$BN17,F$9)</f>
        <v>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/>
      <c r="B18" s="17"/>
      <c r="C18" s="17"/>
      <c r="D18" s="17" t="n">
        <f aca="false">COUNTIF($G18:$BN18,D$9)</f>
        <v>0</v>
      </c>
      <c r="E18" s="17" t="n">
        <f aca="false">COUNTIF($G18:$BN18,E$9)</f>
        <v>0</v>
      </c>
      <c r="F18" s="17" t="n">
        <f aca="false">COUNTIF($G18:$BN18,F$9)</f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/>
      <c r="B19" s="17"/>
      <c r="C19" s="17"/>
      <c r="D19" s="17" t="n">
        <f aca="false">COUNTIF($G19:$BN19,D$9)</f>
        <v>0</v>
      </c>
      <c r="E19" s="17" t="n">
        <f aca="false">COUNTIF($G19:$BN19,E$9)</f>
        <v>0</v>
      </c>
      <c r="F19" s="17" t="n">
        <f aca="false">COUNTIF($G19:$BN19,F$9)</f>
        <v>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/>
      <c r="B20" s="17"/>
      <c r="C20" s="17"/>
      <c r="D20" s="17" t="n">
        <f aca="false">COUNTIF($G20:$BN20,D$9)</f>
        <v>0</v>
      </c>
      <c r="E20" s="17" t="n">
        <f aca="false">COUNTIF($G20:$BN20,E$9)</f>
        <v>0</v>
      </c>
      <c r="F20" s="17" t="n">
        <f aca="false">COUNTIF($G20:$BN20,F$9)</f>
        <v>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/>
      <c r="B21" s="17"/>
      <c r="C21" s="17"/>
      <c r="D21" s="17" t="n">
        <f aca="false">COUNTIF($G21:$BN21,D$9)</f>
        <v>0</v>
      </c>
      <c r="E21" s="17" t="n">
        <f aca="false">COUNTIF($G21:$BN21,E$9)</f>
        <v>0</v>
      </c>
      <c r="F21" s="17" t="n">
        <f aca="false">COUNTIF($G21:$BN21,F$9)</f>
        <v>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/>
      <c r="B22" s="17"/>
      <c r="C22" s="17"/>
      <c r="D22" s="17" t="n">
        <f aca="false">COUNTIF($G22:$BN22,D$9)</f>
        <v>0</v>
      </c>
      <c r="E22" s="17" t="n">
        <f aca="false">COUNTIF($G22:$BN22,E$9)</f>
        <v>0</v>
      </c>
      <c r="F22" s="17" t="n">
        <f aca="false">COUNTIF($G22:$BN22,F$9)</f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/>
      <c r="B23" s="17"/>
      <c r="C23" s="17"/>
      <c r="D23" s="17" t="n">
        <f aca="false">COUNTIF($G23:$BN23,D$9)</f>
        <v>0</v>
      </c>
      <c r="E23" s="17" t="n">
        <f aca="false">COUNTIF($G23:$BN23,E$9)</f>
        <v>0</v>
      </c>
      <c r="F23" s="17" t="n">
        <f aca="false">COUNTIF($G23:$BN23,F$9)</f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/>
      <c r="B24" s="17"/>
      <c r="C24" s="17"/>
      <c r="D24" s="17" t="n">
        <f aca="false">COUNTIF($G24:$BN24,D$9)</f>
        <v>0</v>
      </c>
      <c r="E24" s="17" t="n">
        <f aca="false">COUNTIF($G24:$BN24,E$9)</f>
        <v>0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/>
      <c r="B25" s="17"/>
      <c r="C25" s="17"/>
      <c r="D25" s="17" t="n">
        <f aca="false">COUNTIF($G25:$BN25,D$9)</f>
        <v>0</v>
      </c>
      <c r="E25" s="17" t="n">
        <f aca="false">COUNTIF($G25:$BN25,E$9)</f>
        <v>0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/>
      <c r="B26" s="17"/>
      <c r="C26" s="17"/>
      <c r="D26" s="17" t="n">
        <f aca="false">COUNTIF($G26:$BN26,D$9)</f>
        <v>0</v>
      </c>
      <c r="E26" s="17" t="n">
        <f aca="false">COUNTIF($G26:$BN26,E$9)</f>
        <v>0</v>
      </c>
      <c r="F26" s="17" t="n">
        <f aca="false">COUNTIF($G26:$BN26,F$9)</f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7"/>
      <c r="B27" s="17"/>
      <c r="C27" s="17"/>
      <c r="D27" s="17" t="n">
        <f aca="false">COUNTIF($G27:$BN27,D$9)</f>
        <v>0</v>
      </c>
      <c r="E27" s="17" t="n">
        <f aca="false">COUNTIF($G27:$BN27,E$9)</f>
        <v>0</v>
      </c>
      <c r="F27" s="17" t="n">
        <f aca="false">COUNTIF($G27:$BN27,F$9)</f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customFormat="false" ht="15.75" hidden="false" customHeight="true" outlineLevel="0" collapsed="false">
      <c r="A28" s="17"/>
      <c r="B28" s="17"/>
      <c r="C28" s="17"/>
      <c r="D28" s="17" t="n">
        <f aca="false">COUNTIF($G28:$BN28,D$9)</f>
        <v>0</v>
      </c>
      <c r="E28" s="17" t="n">
        <f aca="false">COUNTIF($G28:$BN28,E$9)</f>
        <v>0</v>
      </c>
      <c r="F28" s="17" t="n">
        <f aca="false">COUNTIF($G28:$BN28,F$9)</f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</row>
    <row r="29" customFormat="false" ht="15.75" hidden="false" customHeight="true" outlineLevel="0" collapsed="false">
      <c r="A29" s="17"/>
      <c r="B29" s="17"/>
      <c r="C29" s="17"/>
      <c r="D29" s="17" t="n">
        <f aca="false">COUNTIF($G29:$BN29,D$9)</f>
        <v>0</v>
      </c>
      <c r="E29" s="17" t="n">
        <f aca="false">COUNTIF($G29:$BN29,E$9)</f>
        <v>0</v>
      </c>
      <c r="F29" s="17" t="n">
        <f aca="false">COUNTIF($G29:$BN29,F$9)</f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7:BN7" type="list">
      <formula1>"SHAKIL,JIHAD,MAM"</formula1>
      <formula2>0</formula2>
    </dataValidation>
    <dataValidation allowBlank="true" errorStyle="stop" operator="between" showDropDown="false" showErrorMessage="true" showInputMessage="false" sqref="G10:BN29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0" topLeftCell="G1" activePane="topRight" state="frozen"/>
      <selection pane="topLeft" activeCell="A1" activeCellId="0" sqref="A1"/>
      <selection pane="topRigh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0.25"/>
    <col collapsed="false" customWidth="true" hidden="false" outlineLevel="0" max="3" min="3" style="0" width="28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3.25" hidden="false" customHeight="true" outlineLevel="0" collapsed="false">
      <c r="B4" s="4" t="s">
        <v>2</v>
      </c>
      <c r="C4" s="5" t="n">
        <v>46025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46142</v>
      </c>
      <c r="J6" s="8" t="s">
        <v>14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15</v>
      </c>
      <c r="H7" s="9" t="s">
        <v>15</v>
      </c>
      <c r="I7" s="9" t="s">
        <v>15</v>
      </c>
      <c r="J7" s="9" t="s">
        <v>15</v>
      </c>
      <c r="K7" s="9" t="s">
        <v>15</v>
      </c>
      <c r="L7" s="9" t="s">
        <v>15</v>
      </c>
      <c r="M7" s="9" t="s">
        <v>15</v>
      </c>
      <c r="N7" s="9" t="s">
        <v>15</v>
      </c>
      <c r="O7" s="9" t="s">
        <v>15</v>
      </c>
      <c r="P7" s="9" t="s">
        <v>15</v>
      </c>
      <c r="Q7" s="9" t="s">
        <v>15</v>
      </c>
      <c r="R7" s="9" t="s">
        <v>15</v>
      </c>
      <c r="S7" s="9" t="s">
        <v>15</v>
      </c>
      <c r="T7" s="9" t="s">
        <v>15</v>
      </c>
      <c r="U7" s="9" t="s">
        <v>15</v>
      </c>
      <c r="V7" s="9" t="s">
        <v>15</v>
      </c>
      <c r="W7" s="9" t="s">
        <v>15</v>
      </c>
      <c r="X7" s="9" t="s">
        <v>15</v>
      </c>
      <c r="Y7" s="9" t="s">
        <v>15</v>
      </c>
      <c r="Z7" s="9" t="s">
        <v>15</v>
      </c>
      <c r="AA7" s="9" t="s">
        <v>15</v>
      </c>
      <c r="AB7" s="9" t="s">
        <v>15</v>
      </c>
      <c r="AC7" s="9" t="s">
        <v>15</v>
      </c>
      <c r="AD7" s="9" t="s">
        <v>15</v>
      </c>
      <c r="AE7" s="9" t="s">
        <v>15</v>
      </c>
      <c r="AF7" s="9" t="s">
        <v>15</v>
      </c>
      <c r="AG7" s="9" t="s">
        <v>15</v>
      </c>
      <c r="AH7" s="9" t="s">
        <v>15</v>
      </c>
      <c r="AI7" s="9" t="s">
        <v>15</v>
      </c>
      <c r="AJ7" s="9" t="s">
        <v>15</v>
      </c>
      <c r="AK7" s="9" t="s">
        <v>15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15</v>
      </c>
      <c r="AS7" s="9" t="s">
        <v>15</v>
      </c>
      <c r="AT7" s="9" t="s">
        <v>15</v>
      </c>
      <c r="AU7" s="9" t="s">
        <v>15</v>
      </c>
      <c r="AV7" s="9" t="s">
        <v>15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Sat</v>
      </c>
      <c r="H8" s="10" t="str">
        <f aca="false">TEXT(H9,"DDD")</f>
        <v>Mon</v>
      </c>
      <c r="I8" s="10" t="str">
        <f aca="false">TEXT(I9,"DDD")</f>
        <v>Wed</v>
      </c>
      <c r="J8" s="10" t="str">
        <f aca="false">TEXT(J9,"DDD")</f>
        <v>Sat</v>
      </c>
      <c r="K8" s="10" t="str">
        <f aca="false">TEXT(K9,"DDD")</f>
        <v>Mon</v>
      </c>
      <c r="L8" s="10" t="str">
        <f aca="false">TEXT(L9,"DDD")</f>
        <v>Wed</v>
      </c>
      <c r="M8" s="10" t="str">
        <f aca="false">TEXT(M9,"DDD")</f>
        <v>Sat</v>
      </c>
      <c r="N8" s="10" t="str">
        <f aca="false">TEXT(N9,"DDD")</f>
        <v>Mon</v>
      </c>
      <c r="O8" s="10" t="str">
        <f aca="false">TEXT(O9,"DDD")</f>
        <v>Wed</v>
      </c>
      <c r="P8" s="10" t="str">
        <f aca="false">TEXT(P9,"DDD")</f>
        <v>Sat</v>
      </c>
      <c r="Q8" s="10" t="str">
        <f aca="false">TEXT(Q9,"DDD")</f>
        <v>Mon</v>
      </c>
      <c r="R8" s="10" t="str">
        <f aca="false">TEXT(R9,"DDD")</f>
        <v>Wed</v>
      </c>
      <c r="S8" s="10" t="str">
        <f aca="false">TEXT(S9,"DDD")</f>
        <v>Sat</v>
      </c>
      <c r="T8" s="10" t="str">
        <f aca="false">TEXT(T9,"DDD")</f>
        <v>Mon</v>
      </c>
      <c r="U8" s="10" t="str">
        <f aca="false">TEXT(U9,"DDD")</f>
        <v>Wed</v>
      </c>
      <c r="V8" s="10" t="str">
        <f aca="false">TEXT(V9,"DDD")</f>
        <v>Sat</v>
      </c>
      <c r="W8" s="10" t="str">
        <f aca="false">TEXT(W9,"DDD")</f>
        <v>Mon</v>
      </c>
      <c r="X8" s="10" t="str">
        <f aca="false">TEXT(X9,"DDD")</f>
        <v>Wed</v>
      </c>
      <c r="Y8" s="10" t="str">
        <f aca="false">TEXT(Y9,"DDD")</f>
        <v>Sat</v>
      </c>
      <c r="Z8" s="10" t="str">
        <f aca="false">TEXT(Z9,"DDD")</f>
        <v>Mon</v>
      </c>
      <c r="AA8" s="10" t="str">
        <f aca="false">TEXT(AA9,"DDD")</f>
        <v>Wed</v>
      </c>
      <c r="AB8" s="10" t="str">
        <f aca="false">TEXT(AB9,"DDD")</f>
        <v>Sat</v>
      </c>
      <c r="AC8" s="10" t="str">
        <f aca="false">TEXT(AC9,"DDD")</f>
        <v>Mon</v>
      </c>
      <c r="AD8" s="10" t="str">
        <f aca="false">TEXT(AD9,"DDD")</f>
        <v>Wed</v>
      </c>
      <c r="AE8" s="10" t="str">
        <f aca="false">TEXT(AE9,"DDD")</f>
        <v>Sat</v>
      </c>
      <c r="AF8" s="10" t="str">
        <f aca="false">TEXT(AF9,"DDD")</f>
        <v>Mon</v>
      </c>
      <c r="AG8" s="10" t="str">
        <f aca="false">TEXT(AG9,"DDD")</f>
        <v>Wed</v>
      </c>
      <c r="AH8" s="10" t="str">
        <f aca="false">TEXT(AH9,"DDD")</f>
        <v>Sat</v>
      </c>
      <c r="AI8" s="10" t="str">
        <f aca="false">TEXT(AI9,"DDD")</f>
        <v>Mon</v>
      </c>
      <c r="AJ8" s="10" t="str">
        <f aca="false">TEXT(AJ9,"DDD")</f>
        <v>Wed</v>
      </c>
      <c r="AK8" s="10" t="str">
        <f aca="false">TEXT(AK9,"DDD")</f>
        <v>Sat</v>
      </c>
      <c r="AL8" s="10" t="str">
        <f aca="false">TEXT(AL9,"DDD")</f>
        <v>Mon</v>
      </c>
      <c r="AM8" s="10" t="str">
        <f aca="false">TEXT(AM9,"DDD")</f>
        <v>Wed</v>
      </c>
      <c r="AN8" s="10" t="str">
        <f aca="false">TEXT(AN9,"DDD")</f>
        <v>Sat</v>
      </c>
      <c r="AO8" s="10" t="str">
        <f aca="false">TEXT(AO9,"DDD")</f>
        <v>Mon</v>
      </c>
      <c r="AP8" s="10" t="str">
        <f aca="false">TEXT(AP9,"DDD")</f>
        <v>Wed</v>
      </c>
      <c r="AQ8" s="10" t="str">
        <f aca="false">TEXT(AQ9,"DDD")</f>
        <v>Sat</v>
      </c>
      <c r="AR8" s="10" t="str">
        <f aca="false">TEXT(AR9,"DDD")</f>
        <v>Mon</v>
      </c>
      <c r="AS8" s="10" t="str">
        <f aca="false">TEXT(AS9,"DDD")</f>
        <v>Wed</v>
      </c>
      <c r="AT8" s="10" t="str">
        <f aca="false">TEXT(AT9,"DDD")</f>
        <v>Sat</v>
      </c>
      <c r="AU8" s="10" t="str">
        <f aca="false">TEXT(AU9,"DDD")</f>
        <v>Mon</v>
      </c>
      <c r="AV8" s="10" t="str">
        <f aca="false">TEXT(AV9,"DDD")</f>
        <v>Wed</v>
      </c>
      <c r="AW8" s="10" t="str">
        <f aca="false">TEXT(AW9,"DDD")</f>
        <v>Sat</v>
      </c>
      <c r="AX8" s="10" t="str">
        <f aca="false">TEXT(AX9,"DDD")</f>
        <v>Mon</v>
      </c>
      <c r="AY8" s="10" t="str">
        <f aca="false">TEXT(AY9,"DDD")</f>
        <v>Wed</v>
      </c>
      <c r="AZ8" s="10" t="str">
        <f aca="false">TEXT(AZ9,"DDD")</f>
        <v>Sat</v>
      </c>
      <c r="BA8" s="10" t="str">
        <f aca="false">TEXT(BA9,"DDD")</f>
        <v>Mon</v>
      </c>
      <c r="BB8" s="10" t="str">
        <f aca="false">TEXT(BB9,"DDD")</f>
        <v>Wed</v>
      </c>
      <c r="BC8" s="10" t="str">
        <f aca="false">TEXT(BC9,"DDD")</f>
        <v>Sat</v>
      </c>
      <c r="BD8" s="10" t="str">
        <f aca="false">TEXT(BD9,"DDD")</f>
        <v>Mon</v>
      </c>
      <c r="BE8" s="10" t="str">
        <f aca="false">TEXT(BE9,"DDD")</f>
        <v>Wed</v>
      </c>
      <c r="BF8" s="10" t="str">
        <f aca="false">TEXT(BF9,"DDD")</f>
        <v>Sat</v>
      </c>
      <c r="BG8" s="10" t="str">
        <f aca="false">TEXT(BG9,"DDD")</f>
        <v>Mon</v>
      </c>
      <c r="BH8" s="10" t="str">
        <f aca="false">TEXT(BH9,"DDD")</f>
        <v>Wed</v>
      </c>
      <c r="BI8" s="10" t="str">
        <f aca="false">TEXT(BI9,"DDD")</f>
        <v>Sat</v>
      </c>
      <c r="BJ8" s="10" t="str">
        <f aca="false">TEXT(BJ9,"DDD")</f>
        <v>Mon</v>
      </c>
      <c r="BK8" s="10" t="str">
        <f aca="false">TEXT(BK9,"DDD")</f>
        <v>Wed</v>
      </c>
      <c r="BL8" s="10" t="str">
        <f aca="false">TEXT(BL9,"DDD")</f>
        <v>Sat</v>
      </c>
      <c r="BM8" s="10" t="str">
        <f aca="false">TEXT(BM9,"DDD")</f>
        <v>Mon</v>
      </c>
      <c r="BN8" s="10" t="str">
        <f aca="false">TEXT(BN9,"DDD")</f>
        <v>Wed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46025</v>
      </c>
      <c r="H9" s="15" t="n">
        <f aca="false">G9+2</f>
        <v>46027</v>
      </c>
      <c r="I9" s="15" t="n">
        <f aca="false">H9+2</f>
        <v>46029</v>
      </c>
      <c r="J9" s="15" t="n">
        <f aca="false">I9+3</f>
        <v>46032</v>
      </c>
      <c r="K9" s="15" t="n">
        <f aca="false">J9+2</f>
        <v>46034</v>
      </c>
      <c r="L9" s="15" t="n">
        <f aca="false">K9+2</f>
        <v>46036</v>
      </c>
      <c r="M9" s="15" t="n">
        <f aca="false">L9+3</f>
        <v>46039</v>
      </c>
      <c r="N9" s="15" t="n">
        <f aca="false">M9+2</f>
        <v>46041</v>
      </c>
      <c r="O9" s="15" t="n">
        <f aca="false">N9+2</f>
        <v>46043</v>
      </c>
      <c r="P9" s="15" t="n">
        <f aca="false">O9+3</f>
        <v>46046</v>
      </c>
      <c r="Q9" s="15" t="n">
        <f aca="false">P9+2</f>
        <v>46048</v>
      </c>
      <c r="R9" s="15" t="n">
        <f aca="false">Q9+2</f>
        <v>46050</v>
      </c>
      <c r="S9" s="15" t="n">
        <f aca="false">R9+3</f>
        <v>46053</v>
      </c>
      <c r="T9" s="15" t="n">
        <f aca="false">S9+2</f>
        <v>46055</v>
      </c>
      <c r="U9" s="15" t="n">
        <f aca="false">T9+2</f>
        <v>46057</v>
      </c>
      <c r="V9" s="15" t="n">
        <f aca="false">U9+3</f>
        <v>46060</v>
      </c>
      <c r="W9" s="15" t="n">
        <f aca="false">V9+2</f>
        <v>46062</v>
      </c>
      <c r="X9" s="15" t="n">
        <f aca="false">W9+2</f>
        <v>46064</v>
      </c>
      <c r="Y9" s="15" t="n">
        <f aca="false">X9+3</f>
        <v>46067</v>
      </c>
      <c r="Z9" s="15" t="n">
        <f aca="false">Y9+2</f>
        <v>46069</v>
      </c>
      <c r="AA9" s="15" t="n">
        <f aca="false">Z9+2</f>
        <v>46071</v>
      </c>
      <c r="AB9" s="15" t="n">
        <f aca="false">AA9+3</f>
        <v>46074</v>
      </c>
      <c r="AC9" s="15" t="n">
        <f aca="false">AB9+2</f>
        <v>46076</v>
      </c>
      <c r="AD9" s="15" t="n">
        <f aca="false">AC9+2</f>
        <v>46078</v>
      </c>
      <c r="AE9" s="15" t="n">
        <f aca="false">AD9+3</f>
        <v>46081</v>
      </c>
      <c r="AF9" s="15" t="n">
        <f aca="false">AE9+2</f>
        <v>46083</v>
      </c>
      <c r="AG9" s="15" t="n">
        <f aca="false">AF9+2</f>
        <v>46085</v>
      </c>
      <c r="AH9" s="15" t="n">
        <f aca="false">AG9+3</f>
        <v>46088</v>
      </c>
      <c r="AI9" s="15" t="n">
        <f aca="false">AH9+2</f>
        <v>46090</v>
      </c>
      <c r="AJ9" s="15" t="n">
        <f aca="false">AI9+2</f>
        <v>46092</v>
      </c>
      <c r="AK9" s="15" t="n">
        <f aca="false">AJ9+3</f>
        <v>46095</v>
      </c>
      <c r="AL9" s="15" t="n">
        <f aca="false">AK9+2</f>
        <v>46097</v>
      </c>
      <c r="AM9" s="15" t="n">
        <f aca="false">AL9+2</f>
        <v>46099</v>
      </c>
      <c r="AN9" s="15" t="n">
        <f aca="false">AM9+3</f>
        <v>46102</v>
      </c>
      <c r="AO9" s="15" t="n">
        <f aca="false">AN9+2</f>
        <v>46104</v>
      </c>
      <c r="AP9" s="15" t="n">
        <f aca="false">AO9+2</f>
        <v>46106</v>
      </c>
      <c r="AQ9" s="15" t="n">
        <f aca="false">AP9+3</f>
        <v>46109</v>
      </c>
      <c r="AR9" s="15" t="n">
        <f aca="false">AQ9+2</f>
        <v>46111</v>
      </c>
      <c r="AS9" s="15" t="n">
        <f aca="false">AR9+2</f>
        <v>46113</v>
      </c>
      <c r="AT9" s="15" t="n">
        <f aca="false">AS9+3</f>
        <v>46116</v>
      </c>
      <c r="AU9" s="15" t="n">
        <f aca="false">AT9+2</f>
        <v>46118</v>
      </c>
      <c r="AV9" s="15" t="n">
        <f aca="false">AU9+2</f>
        <v>46120</v>
      </c>
      <c r="AW9" s="15" t="n">
        <f aca="false">AV9+3</f>
        <v>46123</v>
      </c>
      <c r="AX9" s="15" t="n">
        <f aca="false">AW9+2</f>
        <v>46125</v>
      </c>
      <c r="AY9" s="15" t="n">
        <f aca="false">AX9+2</f>
        <v>46127</v>
      </c>
      <c r="AZ9" s="15" t="n">
        <f aca="false">AY9+3</f>
        <v>46130</v>
      </c>
      <c r="BA9" s="15" t="n">
        <f aca="false">AZ9+2</f>
        <v>46132</v>
      </c>
      <c r="BB9" s="15" t="n">
        <f aca="false">BA9+2</f>
        <v>46134</v>
      </c>
      <c r="BC9" s="15" t="n">
        <f aca="false">BB9+3</f>
        <v>46137</v>
      </c>
      <c r="BD9" s="15" t="n">
        <f aca="false">BC9+2</f>
        <v>46139</v>
      </c>
      <c r="BE9" s="15" t="n">
        <f aca="false">BD9+2</f>
        <v>46141</v>
      </c>
      <c r="BF9" s="15" t="n">
        <f aca="false">BE9+3</f>
        <v>46144</v>
      </c>
      <c r="BG9" s="15" t="n">
        <f aca="false">BF9+2</f>
        <v>46146</v>
      </c>
      <c r="BH9" s="15" t="n">
        <f aca="false">BG9+2</f>
        <v>46148</v>
      </c>
      <c r="BI9" s="15" t="n">
        <f aca="false">BH9+3</f>
        <v>46151</v>
      </c>
      <c r="BJ9" s="15" t="n">
        <f aca="false">BI9+2</f>
        <v>46153</v>
      </c>
      <c r="BK9" s="15" t="n">
        <f aca="false">BJ9+2</f>
        <v>46155</v>
      </c>
      <c r="BL9" s="15" t="n">
        <f aca="false">BK9+3</f>
        <v>46158</v>
      </c>
      <c r="BM9" s="15" t="n">
        <f aca="false">BL9+2</f>
        <v>46160</v>
      </c>
      <c r="BN9" s="15" t="n">
        <f aca="false">BM9+2</f>
        <v>46162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1</v>
      </c>
      <c r="B10" s="19" t="n">
        <v>25232</v>
      </c>
      <c r="C10" s="13" t="s">
        <v>16</v>
      </c>
      <c r="D10" s="17" t="n">
        <f aca="false">COUNTIF($G10:$BN10,D$9)</f>
        <v>10</v>
      </c>
      <c r="E10" s="17" t="n">
        <f aca="false">COUNTIF($G10:$BN10,E$9)</f>
        <v>24</v>
      </c>
      <c r="F10" s="17" t="n">
        <f aca="false">COUNTIF($G10:$BN10,F$9)</f>
        <v>1</v>
      </c>
      <c r="G10" s="18" t="s">
        <v>17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9</v>
      </c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11</v>
      </c>
      <c r="R10" s="18" t="s">
        <v>9</v>
      </c>
      <c r="S10" s="18" t="s">
        <v>10</v>
      </c>
      <c r="T10" s="18" t="s">
        <v>10</v>
      </c>
      <c r="U10" s="18" t="s">
        <v>10</v>
      </c>
      <c r="V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A10" s="18" t="s">
        <v>10</v>
      </c>
      <c r="AB10" s="18" t="s">
        <v>17</v>
      </c>
      <c r="AC10" s="18" t="s">
        <v>10</v>
      </c>
      <c r="AD10" s="18" t="s">
        <v>10</v>
      </c>
      <c r="AE10" s="18" t="s">
        <v>10</v>
      </c>
      <c r="AF10" s="18" t="s">
        <v>10</v>
      </c>
      <c r="AG10" s="18" t="s">
        <v>10</v>
      </c>
      <c r="AH10" s="18" t="s">
        <v>10</v>
      </c>
      <c r="AI10" s="18" t="s">
        <v>10</v>
      </c>
      <c r="AJ10" s="18" t="s">
        <v>10</v>
      </c>
      <c r="AK10" s="18" t="s">
        <v>10</v>
      </c>
      <c r="AL10" s="18" t="s">
        <v>10</v>
      </c>
      <c r="AM10" s="18" t="s">
        <v>17</v>
      </c>
      <c r="AN10" s="18" t="s">
        <v>17</v>
      </c>
      <c r="AO10" s="18" t="s">
        <v>17</v>
      </c>
      <c r="AP10" s="18" t="s">
        <v>17</v>
      </c>
      <c r="AQ10" s="18" t="s">
        <v>17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2</v>
      </c>
      <c r="B11" s="19" t="n">
        <v>25233</v>
      </c>
      <c r="C11" s="13" t="s">
        <v>18</v>
      </c>
      <c r="D11" s="17" t="n">
        <f aca="false">COUNTIF($G11:$BN11,D$9)</f>
        <v>9</v>
      </c>
      <c r="E11" s="17" t="n">
        <f aca="false">COUNTIF($G11:$BN11,E$9)</f>
        <v>26</v>
      </c>
      <c r="F11" s="17" t="n">
        <f aca="false">COUNTIF($G11:$BN11,F$9)</f>
        <v>0</v>
      </c>
      <c r="G11" s="18" t="s">
        <v>17</v>
      </c>
      <c r="H11" s="18" t="s">
        <v>9</v>
      </c>
      <c r="I11" s="18" t="s">
        <v>9</v>
      </c>
      <c r="J11" s="18" t="s">
        <v>9</v>
      </c>
      <c r="K11" s="18" t="s">
        <v>9</v>
      </c>
      <c r="L11" s="18" t="s">
        <v>10</v>
      </c>
      <c r="M11" s="18" t="s">
        <v>9</v>
      </c>
      <c r="N11" s="18" t="s">
        <v>9</v>
      </c>
      <c r="O11" s="18" t="s">
        <v>9</v>
      </c>
      <c r="P11" s="18" t="s">
        <v>10</v>
      </c>
      <c r="Q11" s="18" t="s">
        <v>9</v>
      </c>
      <c r="R11" s="18" t="s">
        <v>9</v>
      </c>
      <c r="S11" s="18" t="s">
        <v>10</v>
      </c>
      <c r="T11" s="18" t="s">
        <v>10</v>
      </c>
      <c r="U11" s="18" t="s">
        <v>10</v>
      </c>
      <c r="V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A11" s="18" t="s">
        <v>10</v>
      </c>
      <c r="AB11" s="18" t="s">
        <v>17</v>
      </c>
      <c r="AC11" s="18" t="s">
        <v>10</v>
      </c>
      <c r="AD11" s="18" t="s">
        <v>10</v>
      </c>
      <c r="AE11" s="18" t="s">
        <v>10</v>
      </c>
      <c r="AF11" s="18" t="s">
        <v>10</v>
      </c>
      <c r="AG11" s="18" t="s">
        <v>10</v>
      </c>
      <c r="AH11" s="18" t="s">
        <v>10</v>
      </c>
      <c r="AI11" s="18" t="s">
        <v>10</v>
      </c>
      <c r="AJ11" s="18" t="s">
        <v>10</v>
      </c>
      <c r="AK11" s="18" t="s">
        <v>10</v>
      </c>
      <c r="AL11" s="18" t="s">
        <v>10</v>
      </c>
      <c r="AM11" s="18" t="s">
        <v>17</v>
      </c>
      <c r="AN11" s="18" t="s">
        <v>17</v>
      </c>
      <c r="AO11" s="18" t="s">
        <v>17</v>
      </c>
      <c r="AP11" s="18" t="s">
        <v>17</v>
      </c>
      <c r="AQ11" s="18" t="s">
        <v>17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3</v>
      </c>
      <c r="B12" s="19" t="n">
        <v>25234</v>
      </c>
      <c r="C12" s="19" t="s">
        <v>19</v>
      </c>
      <c r="D12" s="17" t="n">
        <f aca="false">COUNTIF($G12:$BN12,D$9)</f>
        <v>25</v>
      </c>
      <c r="E12" s="17" t="n">
        <f aca="false">COUNTIF($G12:$BN12,E$9)</f>
        <v>8</v>
      </c>
      <c r="F12" s="17" t="n">
        <f aca="false">COUNTIF($G12:$BN12,F$9)</f>
        <v>2</v>
      </c>
      <c r="G12" s="18" t="s">
        <v>17</v>
      </c>
      <c r="H12" s="18" t="s">
        <v>9</v>
      </c>
      <c r="I12" s="18" t="s">
        <v>9</v>
      </c>
      <c r="J12" s="18" t="s">
        <v>9</v>
      </c>
      <c r="K12" s="18" t="s">
        <v>9</v>
      </c>
      <c r="L12" s="18" t="s">
        <v>9</v>
      </c>
      <c r="M12" s="18" t="s">
        <v>9</v>
      </c>
      <c r="N12" s="18" t="s">
        <v>9</v>
      </c>
      <c r="O12" s="18" t="s">
        <v>9</v>
      </c>
      <c r="P12" s="18" t="s">
        <v>9</v>
      </c>
      <c r="Q12" s="18" t="s">
        <v>9</v>
      </c>
      <c r="R12" s="18" t="s">
        <v>9</v>
      </c>
      <c r="S12" s="18" t="s">
        <v>9</v>
      </c>
      <c r="T12" s="18" t="s">
        <v>9</v>
      </c>
      <c r="U12" s="18" t="s">
        <v>9</v>
      </c>
      <c r="V12" s="18" t="s">
        <v>9</v>
      </c>
      <c r="W12" s="18" t="s">
        <v>9</v>
      </c>
      <c r="X12" s="18" t="s">
        <v>9</v>
      </c>
      <c r="Y12" s="18" t="s">
        <v>9</v>
      </c>
      <c r="Z12" s="18" t="s">
        <v>9</v>
      </c>
      <c r="AA12" s="18" t="s">
        <v>9</v>
      </c>
      <c r="AB12" s="18" t="s">
        <v>17</v>
      </c>
      <c r="AC12" s="18" t="s">
        <v>9</v>
      </c>
      <c r="AD12" s="18" t="s">
        <v>9</v>
      </c>
      <c r="AE12" s="18" t="s">
        <v>9</v>
      </c>
      <c r="AF12" s="18" t="s">
        <v>9</v>
      </c>
      <c r="AG12" s="18" t="s">
        <v>9</v>
      </c>
      <c r="AH12" s="18" t="s">
        <v>10</v>
      </c>
      <c r="AI12" s="18" t="s">
        <v>10</v>
      </c>
      <c r="AJ12" s="18" t="s">
        <v>10</v>
      </c>
      <c r="AK12" s="18" t="s">
        <v>10</v>
      </c>
      <c r="AL12" s="18" t="s">
        <v>10</v>
      </c>
      <c r="AM12" s="18" t="s">
        <v>17</v>
      </c>
      <c r="AN12" s="18" t="s">
        <v>17</v>
      </c>
      <c r="AO12" s="18" t="s">
        <v>17</v>
      </c>
      <c r="AP12" s="18" t="s">
        <v>17</v>
      </c>
      <c r="AQ12" s="18" t="s">
        <v>17</v>
      </c>
      <c r="AR12" s="18" t="s">
        <v>10</v>
      </c>
      <c r="AS12" s="18" t="s">
        <v>11</v>
      </c>
      <c r="AT12" s="18" t="s">
        <v>11</v>
      </c>
      <c r="AU12" s="18" t="s">
        <v>10</v>
      </c>
      <c r="AV12" s="18" t="s">
        <v>10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4</v>
      </c>
      <c r="B13" s="19" t="n">
        <v>25235</v>
      </c>
      <c r="C13" s="19" t="s">
        <v>20</v>
      </c>
      <c r="D13" s="17" t="n">
        <f aca="false">COUNTIF($G13:$BN13,D$9)</f>
        <v>35</v>
      </c>
      <c r="E13" s="17" t="n">
        <f aca="false">COUNTIF($G13:$BN13,E$9)</f>
        <v>0</v>
      </c>
      <c r="F13" s="17" t="n">
        <f aca="false">COUNTIF($G13:$BN13,F$9)</f>
        <v>0</v>
      </c>
      <c r="G13" s="18" t="s">
        <v>17</v>
      </c>
      <c r="H13" s="18" t="s">
        <v>9</v>
      </c>
      <c r="I13" s="18" t="s">
        <v>9</v>
      </c>
      <c r="J13" s="18" t="s">
        <v>9</v>
      </c>
      <c r="K13" s="18" t="s">
        <v>9</v>
      </c>
      <c r="L13" s="18" t="s">
        <v>9</v>
      </c>
      <c r="M13" s="18" t="s">
        <v>9</v>
      </c>
      <c r="N13" s="18" t="s">
        <v>9</v>
      </c>
      <c r="O13" s="18" t="s">
        <v>9</v>
      </c>
      <c r="P13" s="18" t="s">
        <v>9</v>
      </c>
      <c r="Q13" s="18" t="s">
        <v>9</v>
      </c>
      <c r="R13" s="18" t="s">
        <v>9</v>
      </c>
      <c r="S13" s="18" t="s">
        <v>9</v>
      </c>
      <c r="T13" s="18" t="s">
        <v>9</v>
      </c>
      <c r="U13" s="18" t="s">
        <v>9</v>
      </c>
      <c r="V13" s="18" t="s">
        <v>9</v>
      </c>
      <c r="W13" s="18" t="s">
        <v>9</v>
      </c>
      <c r="X13" s="18" t="s">
        <v>9</v>
      </c>
      <c r="Y13" s="18" t="s">
        <v>9</v>
      </c>
      <c r="Z13" s="18" t="s">
        <v>9</v>
      </c>
      <c r="AA13" s="18" t="s">
        <v>9</v>
      </c>
      <c r="AB13" s="18" t="s">
        <v>17</v>
      </c>
      <c r="AC13" s="18" t="s">
        <v>9</v>
      </c>
      <c r="AD13" s="18" t="s">
        <v>9</v>
      </c>
      <c r="AE13" s="18" t="s">
        <v>9</v>
      </c>
      <c r="AF13" s="18" t="s">
        <v>9</v>
      </c>
      <c r="AG13" s="18" t="s">
        <v>9</v>
      </c>
      <c r="AH13" s="18" t="s">
        <v>9</v>
      </c>
      <c r="AI13" s="18" t="s">
        <v>9</v>
      </c>
      <c r="AJ13" s="18" t="s">
        <v>9</v>
      </c>
      <c r="AK13" s="18" t="s">
        <v>9</v>
      </c>
      <c r="AL13" s="18" t="s">
        <v>9</v>
      </c>
      <c r="AM13" s="18" t="s">
        <v>17</v>
      </c>
      <c r="AN13" s="18" t="s">
        <v>17</v>
      </c>
      <c r="AO13" s="18" t="s">
        <v>17</v>
      </c>
      <c r="AP13" s="18" t="s">
        <v>17</v>
      </c>
      <c r="AQ13" s="18" t="s">
        <v>17</v>
      </c>
      <c r="AR13" s="18" t="s">
        <v>9</v>
      </c>
      <c r="AS13" s="18" t="s">
        <v>9</v>
      </c>
      <c r="AT13" s="18" t="s">
        <v>9</v>
      </c>
      <c r="AU13" s="18" t="s">
        <v>9</v>
      </c>
      <c r="AV13" s="18" t="s">
        <v>9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5</v>
      </c>
      <c r="B14" s="19" t="n">
        <v>25236</v>
      </c>
      <c r="C14" s="19" t="s">
        <v>21</v>
      </c>
      <c r="D14" s="17" t="n">
        <f aca="false">COUNTIF($G14:$BN14,D$9)</f>
        <v>30</v>
      </c>
      <c r="E14" s="17" t="n">
        <f aca="false">COUNTIF($G14:$BN14,E$9)</f>
        <v>2</v>
      </c>
      <c r="F14" s="17" t="n">
        <f aca="false">COUNTIF($G14:$BN14,F$9)</f>
        <v>3</v>
      </c>
      <c r="G14" s="18" t="s">
        <v>17</v>
      </c>
      <c r="H14" s="18" t="s">
        <v>11</v>
      </c>
      <c r="I14" s="18" t="s">
        <v>11</v>
      </c>
      <c r="J14" s="18" t="s">
        <v>9</v>
      </c>
      <c r="K14" s="18" t="s">
        <v>10</v>
      </c>
      <c r="L14" s="18" t="s">
        <v>10</v>
      </c>
      <c r="M14" s="18" t="s">
        <v>9</v>
      </c>
      <c r="N14" s="18" t="s">
        <v>9</v>
      </c>
      <c r="O14" s="18" t="s">
        <v>9</v>
      </c>
      <c r="P14" s="18" t="s">
        <v>9</v>
      </c>
      <c r="Q14" s="18" t="s">
        <v>9</v>
      </c>
      <c r="R14" s="18" t="s">
        <v>9</v>
      </c>
      <c r="S14" s="18" t="s">
        <v>9</v>
      </c>
      <c r="T14" s="18" t="s">
        <v>9</v>
      </c>
      <c r="U14" s="18" t="s">
        <v>9</v>
      </c>
      <c r="V14" s="18" t="s">
        <v>9</v>
      </c>
      <c r="W14" s="18" t="s">
        <v>9</v>
      </c>
      <c r="X14" s="18" t="s">
        <v>9</v>
      </c>
      <c r="Y14" s="18" t="s">
        <v>9</v>
      </c>
      <c r="Z14" s="18" t="s">
        <v>9</v>
      </c>
      <c r="AA14" s="18" t="s">
        <v>9</v>
      </c>
      <c r="AB14" s="18" t="s">
        <v>17</v>
      </c>
      <c r="AC14" s="18" t="s">
        <v>9</v>
      </c>
      <c r="AD14" s="18" t="s">
        <v>9</v>
      </c>
      <c r="AE14" s="18" t="s">
        <v>9</v>
      </c>
      <c r="AF14" s="18" t="s">
        <v>9</v>
      </c>
      <c r="AG14" s="18" t="s">
        <v>9</v>
      </c>
      <c r="AH14" s="18" t="s">
        <v>9</v>
      </c>
      <c r="AI14" s="18" t="s">
        <v>9</v>
      </c>
      <c r="AJ14" s="18" t="s">
        <v>11</v>
      </c>
      <c r="AK14" s="18" t="s">
        <v>9</v>
      </c>
      <c r="AL14" s="18" t="s">
        <v>9</v>
      </c>
      <c r="AM14" s="18" t="s">
        <v>17</v>
      </c>
      <c r="AN14" s="18" t="s">
        <v>17</v>
      </c>
      <c r="AO14" s="18" t="s">
        <v>17</v>
      </c>
      <c r="AP14" s="18" t="s">
        <v>17</v>
      </c>
      <c r="AQ14" s="18" t="s">
        <v>17</v>
      </c>
      <c r="AR14" s="18" t="s">
        <v>9</v>
      </c>
      <c r="AS14" s="18" t="s">
        <v>9</v>
      </c>
      <c r="AT14" s="18" t="s">
        <v>9</v>
      </c>
      <c r="AU14" s="18" t="s">
        <v>9</v>
      </c>
      <c r="AV14" s="18" t="s">
        <v>9</v>
      </c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6</v>
      </c>
      <c r="B15" s="19" t="n">
        <v>25237</v>
      </c>
      <c r="C15" s="19" t="s">
        <v>22</v>
      </c>
      <c r="D15" s="17" t="n">
        <f aca="false">COUNTIF($G15:$BN15,D$9)</f>
        <v>28</v>
      </c>
      <c r="E15" s="17" t="n">
        <f aca="false">COUNTIF($G15:$BN15,E$9)</f>
        <v>4</v>
      </c>
      <c r="F15" s="17" t="n">
        <f aca="false">COUNTIF($G15:$BN15,F$9)</f>
        <v>3</v>
      </c>
      <c r="G15" s="18" t="s">
        <v>17</v>
      </c>
      <c r="H15" s="18" t="s">
        <v>9</v>
      </c>
      <c r="I15" s="18" t="s">
        <v>9</v>
      </c>
      <c r="J15" s="18" t="s">
        <v>9</v>
      </c>
      <c r="K15" s="18" t="s">
        <v>9</v>
      </c>
      <c r="L15" s="18" t="s">
        <v>9</v>
      </c>
      <c r="M15" s="18" t="s">
        <v>9</v>
      </c>
      <c r="N15" s="18" t="s">
        <v>9</v>
      </c>
      <c r="O15" s="18" t="s">
        <v>10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11</v>
      </c>
      <c r="U15" s="18" t="s">
        <v>9</v>
      </c>
      <c r="V15" s="18" t="s">
        <v>9</v>
      </c>
      <c r="W15" s="18" t="s">
        <v>10</v>
      </c>
      <c r="X15" s="18" t="s">
        <v>10</v>
      </c>
      <c r="Y15" s="18" t="s">
        <v>9</v>
      </c>
      <c r="Z15" s="18" t="s">
        <v>9</v>
      </c>
      <c r="AA15" s="18" t="s">
        <v>9</v>
      </c>
      <c r="AB15" s="18" t="s">
        <v>17</v>
      </c>
      <c r="AC15" s="18" t="s">
        <v>9</v>
      </c>
      <c r="AD15" s="18" t="s">
        <v>9</v>
      </c>
      <c r="AE15" s="18" t="s">
        <v>9</v>
      </c>
      <c r="AF15" s="18" t="s">
        <v>9</v>
      </c>
      <c r="AG15" s="18" t="s">
        <v>9</v>
      </c>
      <c r="AH15" s="18" t="s">
        <v>9</v>
      </c>
      <c r="AI15" s="18" t="s">
        <v>9</v>
      </c>
      <c r="AJ15" s="18" t="s">
        <v>11</v>
      </c>
      <c r="AK15" s="18" t="s">
        <v>11</v>
      </c>
      <c r="AL15" s="18" t="s">
        <v>10</v>
      </c>
      <c r="AM15" s="18" t="s">
        <v>17</v>
      </c>
      <c r="AN15" s="18" t="s">
        <v>17</v>
      </c>
      <c r="AO15" s="18" t="s">
        <v>17</v>
      </c>
      <c r="AP15" s="18" t="s">
        <v>17</v>
      </c>
      <c r="AQ15" s="18" t="s">
        <v>17</v>
      </c>
      <c r="AR15" s="18" t="s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7</v>
      </c>
      <c r="B16" s="19" t="n">
        <v>25238</v>
      </c>
      <c r="C16" s="19" t="s">
        <v>23</v>
      </c>
      <c r="D16" s="17" t="n">
        <f aca="false">COUNTIF($G16:$BN16,D$9)</f>
        <v>30</v>
      </c>
      <c r="E16" s="17" t="n">
        <f aca="false">COUNTIF($G16:$BN16,E$9)</f>
        <v>3</v>
      </c>
      <c r="F16" s="17" t="n">
        <f aca="false">COUNTIF($G16:$BN16,F$9)</f>
        <v>2</v>
      </c>
      <c r="G16" s="18" t="s">
        <v>17</v>
      </c>
      <c r="H16" s="18" t="s">
        <v>11</v>
      </c>
      <c r="I16" s="18" t="s">
        <v>9</v>
      </c>
      <c r="J16" s="18" t="s">
        <v>9</v>
      </c>
      <c r="K16" s="18" t="s">
        <v>9</v>
      </c>
      <c r="L16" s="18" t="s">
        <v>9</v>
      </c>
      <c r="M16" s="18" t="s">
        <v>10</v>
      </c>
      <c r="N16" s="18" t="s">
        <v>9</v>
      </c>
      <c r="O16" s="18" t="s">
        <v>9</v>
      </c>
      <c r="P16" s="18" t="s">
        <v>9</v>
      </c>
      <c r="Q16" s="18" t="s">
        <v>9</v>
      </c>
      <c r="R16" s="18" t="s">
        <v>9</v>
      </c>
      <c r="S16" s="18" t="s">
        <v>9</v>
      </c>
      <c r="T16" s="18" t="s">
        <v>9</v>
      </c>
      <c r="U16" s="18" t="s">
        <v>9</v>
      </c>
      <c r="V16" s="18" t="s">
        <v>9</v>
      </c>
      <c r="W16" s="18" t="s">
        <v>9</v>
      </c>
      <c r="X16" s="18" t="s">
        <v>9</v>
      </c>
      <c r="Y16" s="18" t="s">
        <v>9</v>
      </c>
      <c r="Z16" s="18" t="s">
        <v>9</v>
      </c>
      <c r="AA16" s="18" t="s">
        <v>9</v>
      </c>
      <c r="AB16" s="18" t="s">
        <v>17</v>
      </c>
      <c r="AC16" s="18" t="s">
        <v>9</v>
      </c>
      <c r="AD16" s="18" t="s">
        <v>9</v>
      </c>
      <c r="AE16" s="18" t="s">
        <v>11</v>
      </c>
      <c r="AF16" s="18" t="s">
        <v>9</v>
      </c>
      <c r="AG16" s="18" t="s">
        <v>9</v>
      </c>
      <c r="AH16" s="18" t="s">
        <v>9</v>
      </c>
      <c r="AI16" s="18" t="s">
        <v>9</v>
      </c>
      <c r="AJ16" s="18" t="s">
        <v>9</v>
      </c>
      <c r="AK16" s="18" t="s">
        <v>9</v>
      </c>
      <c r="AL16" s="18" t="s">
        <v>10</v>
      </c>
      <c r="AM16" s="18" t="s">
        <v>17</v>
      </c>
      <c r="AN16" s="18" t="s">
        <v>17</v>
      </c>
      <c r="AO16" s="18" t="s">
        <v>17</v>
      </c>
      <c r="AP16" s="18" t="s">
        <v>17</v>
      </c>
      <c r="AQ16" s="18" t="s">
        <v>17</v>
      </c>
      <c r="AR16" s="18" t="s">
        <v>9</v>
      </c>
      <c r="AS16" s="18" t="s">
        <v>9</v>
      </c>
      <c r="AT16" s="18" t="s">
        <v>9</v>
      </c>
      <c r="AU16" s="18" t="s">
        <v>9</v>
      </c>
      <c r="AV16" s="18" t="s">
        <v>10</v>
      </c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8</v>
      </c>
      <c r="B17" s="19" t="n">
        <v>25198</v>
      </c>
      <c r="C17" s="13" t="s">
        <v>24</v>
      </c>
      <c r="D17" s="17" t="n">
        <f aca="false">COUNTIF($G17:$BN17,D$9)</f>
        <v>7</v>
      </c>
      <c r="E17" s="17" t="n">
        <f aca="false">COUNTIF($G17:$BN17,E$9)</f>
        <v>20</v>
      </c>
      <c r="F17" s="17" t="n">
        <f aca="false">COUNTIF($G17:$BN17,F$9)</f>
        <v>0</v>
      </c>
      <c r="G17" s="18" t="s">
        <v>17</v>
      </c>
      <c r="H17" s="18" t="s">
        <v>9</v>
      </c>
      <c r="I17" s="18" t="s">
        <v>9</v>
      </c>
      <c r="J17" s="18" t="s">
        <v>9</v>
      </c>
      <c r="K17" s="18" t="s">
        <v>9</v>
      </c>
      <c r="L17" s="18" t="s">
        <v>9</v>
      </c>
      <c r="M17" s="18" t="s">
        <v>9</v>
      </c>
      <c r="N17" s="18" t="s">
        <v>10</v>
      </c>
      <c r="O17" s="18" t="s">
        <v>9</v>
      </c>
      <c r="P17" s="18" t="s">
        <v>10</v>
      </c>
      <c r="Q17" s="18" t="s">
        <v>10</v>
      </c>
      <c r="R17" s="18" t="s">
        <v>10</v>
      </c>
      <c r="S17" s="18" t="s">
        <v>10</v>
      </c>
      <c r="T17" s="18"/>
      <c r="U17" s="18"/>
      <c r="V17" s="18"/>
      <c r="W17" s="18"/>
      <c r="X17" s="18"/>
      <c r="Y17" s="18"/>
      <c r="Z17" s="18"/>
      <c r="AA17" s="18"/>
      <c r="AB17" s="18" t="s">
        <v>17</v>
      </c>
      <c r="AC17" s="18" t="s">
        <v>10</v>
      </c>
      <c r="AD17" s="18" t="s">
        <v>10</v>
      </c>
      <c r="AE17" s="18" t="s">
        <v>10</v>
      </c>
      <c r="AF17" s="18" t="s">
        <v>10</v>
      </c>
      <c r="AG17" s="18" t="s">
        <v>10</v>
      </c>
      <c r="AH17" s="18" t="s">
        <v>10</v>
      </c>
      <c r="AI17" s="18" t="s">
        <v>10</v>
      </c>
      <c r="AJ17" s="18" t="s">
        <v>10</v>
      </c>
      <c r="AK17" s="18" t="s">
        <v>10</v>
      </c>
      <c r="AL17" s="18" t="s">
        <v>10</v>
      </c>
      <c r="AM17" s="18" t="s">
        <v>17</v>
      </c>
      <c r="AN17" s="18" t="s">
        <v>17</v>
      </c>
      <c r="AO17" s="18" t="s">
        <v>17</v>
      </c>
      <c r="AP17" s="18" t="s">
        <v>17</v>
      </c>
      <c r="AQ17" s="18" t="s">
        <v>17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9</v>
      </c>
      <c r="B18" s="19" t="n">
        <v>25222</v>
      </c>
      <c r="C18" s="19" t="s">
        <v>25</v>
      </c>
      <c r="D18" s="17" t="n">
        <f aca="false">COUNTIF($G18:$BN18,D$9)</f>
        <v>15</v>
      </c>
      <c r="E18" s="17" t="n">
        <f aca="false">COUNTIF($G18:$BN18,E$9)</f>
        <v>17</v>
      </c>
      <c r="F18" s="17" t="n">
        <f aca="false">COUNTIF($G18:$BN18,F$9)</f>
        <v>3</v>
      </c>
      <c r="G18" s="18" t="s">
        <v>17</v>
      </c>
      <c r="H18" s="18" t="s">
        <v>10</v>
      </c>
      <c r="I18" s="18" t="s">
        <v>10</v>
      </c>
      <c r="J18" s="18" t="s">
        <v>10</v>
      </c>
      <c r="K18" s="18" t="s">
        <v>10</v>
      </c>
      <c r="L18" s="18" t="s">
        <v>10</v>
      </c>
      <c r="M18" s="18" t="s">
        <v>10</v>
      </c>
      <c r="N18" s="18" t="s">
        <v>10</v>
      </c>
      <c r="O18" s="18" t="s">
        <v>10</v>
      </c>
      <c r="P18" s="18" t="s">
        <v>10</v>
      </c>
      <c r="Q18" s="18" t="s">
        <v>9</v>
      </c>
      <c r="R18" s="18" t="s">
        <v>9</v>
      </c>
      <c r="S18" s="18" t="s">
        <v>9</v>
      </c>
      <c r="T18" s="18" t="s">
        <v>9</v>
      </c>
      <c r="U18" s="18" t="s">
        <v>9</v>
      </c>
      <c r="V18" s="18" t="s">
        <v>9</v>
      </c>
      <c r="W18" s="18" t="s">
        <v>9</v>
      </c>
      <c r="X18" s="18" t="s">
        <v>9</v>
      </c>
      <c r="Y18" s="18" t="s">
        <v>9</v>
      </c>
      <c r="Z18" s="18" t="s">
        <v>9</v>
      </c>
      <c r="AA18" s="18" t="s">
        <v>9</v>
      </c>
      <c r="AB18" s="18" t="s">
        <v>17</v>
      </c>
      <c r="AC18" s="18" t="s">
        <v>9</v>
      </c>
      <c r="AD18" s="18" t="s">
        <v>10</v>
      </c>
      <c r="AE18" s="18" t="s">
        <v>10</v>
      </c>
      <c r="AF18" s="18" t="s">
        <v>9</v>
      </c>
      <c r="AG18" s="18" t="s">
        <v>9</v>
      </c>
      <c r="AH18" s="18" t="s">
        <v>11</v>
      </c>
      <c r="AI18" s="18" t="s">
        <v>9</v>
      </c>
      <c r="AJ18" s="18" t="s">
        <v>10</v>
      </c>
      <c r="AK18" s="18" t="s">
        <v>10</v>
      </c>
      <c r="AL18" s="18" t="s">
        <v>10</v>
      </c>
      <c r="AM18" s="18" t="s">
        <v>17</v>
      </c>
      <c r="AN18" s="18" t="s">
        <v>17</v>
      </c>
      <c r="AO18" s="18" t="s">
        <v>17</v>
      </c>
      <c r="AP18" s="18" t="s">
        <v>17</v>
      </c>
      <c r="AQ18" s="18" t="s">
        <v>17</v>
      </c>
      <c r="AR18" s="18" t="s">
        <v>10</v>
      </c>
      <c r="AS18" s="18" t="s">
        <v>11</v>
      </c>
      <c r="AT18" s="18" t="s">
        <v>10</v>
      </c>
      <c r="AU18" s="18" t="s">
        <v>10</v>
      </c>
      <c r="AV18" s="18" t="s">
        <v>11</v>
      </c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10</v>
      </c>
      <c r="B19" s="19" t="n">
        <v>25227</v>
      </c>
      <c r="C19" s="19" t="s">
        <v>26</v>
      </c>
      <c r="D19" s="17" t="n">
        <f aca="false">COUNTIF($G19:$BN19,D$9)</f>
        <v>22</v>
      </c>
      <c r="E19" s="17" t="n">
        <f aca="false">COUNTIF($G19:$BN19,E$9)</f>
        <v>11</v>
      </c>
      <c r="F19" s="17" t="n">
        <f aca="false">COUNTIF($G19:$BN19,F$9)</f>
        <v>2</v>
      </c>
      <c r="G19" s="18" t="s">
        <v>17</v>
      </c>
      <c r="H19" s="18" t="s">
        <v>10</v>
      </c>
      <c r="I19" s="18" t="s">
        <v>10</v>
      </c>
      <c r="J19" s="18" t="s">
        <v>10</v>
      </c>
      <c r="K19" s="18" t="s">
        <v>10</v>
      </c>
      <c r="L19" s="18" t="s">
        <v>10</v>
      </c>
      <c r="M19" s="18" t="s">
        <v>10</v>
      </c>
      <c r="N19" s="18" t="s">
        <v>10</v>
      </c>
      <c r="O19" s="18" t="s">
        <v>10</v>
      </c>
      <c r="P19" s="18" t="s">
        <v>9</v>
      </c>
      <c r="Q19" s="18" t="s">
        <v>9</v>
      </c>
      <c r="R19" s="18" t="s">
        <v>9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9</v>
      </c>
      <c r="Z19" s="18" t="s">
        <v>9</v>
      </c>
      <c r="AA19" s="18" t="s">
        <v>9</v>
      </c>
      <c r="AB19" s="18" t="s">
        <v>17</v>
      </c>
      <c r="AC19" s="18" t="s">
        <v>9</v>
      </c>
      <c r="AD19" s="18" t="s">
        <v>9</v>
      </c>
      <c r="AE19" s="18" t="s">
        <v>10</v>
      </c>
      <c r="AF19" s="18" t="s">
        <v>9</v>
      </c>
      <c r="AG19" s="18" t="s">
        <v>9</v>
      </c>
      <c r="AH19" s="18" t="s">
        <v>9</v>
      </c>
      <c r="AI19" s="18" t="s">
        <v>9</v>
      </c>
      <c r="AJ19" s="18" t="s">
        <v>11</v>
      </c>
      <c r="AK19" s="18" t="s">
        <v>9</v>
      </c>
      <c r="AL19" s="18" t="s">
        <v>10</v>
      </c>
      <c r="AM19" s="18" t="s">
        <v>17</v>
      </c>
      <c r="AN19" s="18" t="s">
        <v>17</v>
      </c>
      <c r="AO19" s="18" t="s">
        <v>17</v>
      </c>
      <c r="AP19" s="18" t="s">
        <v>17</v>
      </c>
      <c r="AQ19" s="18" t="s">
        <v>17</v>
      </c>
      <c r="AR19" s="18" t="s">
        <v>10</v>
      </c>
      <c r="AS19" s="18" t="s">
        <v>11</v>
      </c>
      <c r="AT19" s="18" t="s">
        <v>9</v>
      </c>
      <c r="AU19" s="18" t="s">
        <v>9</v>
      </c>
      <c r="AV19" s="18" t="s">
        <v>9</v>
      </c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/>
      <c r="B20" s="17"/>
      <c r="C20" s="19" t="s">
        <v>27</v>
      </c>
      <c r="D20" s="17" t="n">
        <f aca="false">COUNTIF($G20:$BN20,D$9)</f>
        <v>15</v>
      </c>
      <c r="E20" s="17" t="n">
        <f aca="false">COUNTIF($G20:$BN20,E$9)</f>
        <v>10</v>
      </c>
      <c r="F20" s="17" t="n">
        <f aca="false">COUNTIF($G20:$BN20,F$9)</f>
        <v>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 t="s">
        <v>9</v>
      </c>
      <c r="S20" s="18" t="s">
        <v>9</v>
      </c>
      <c r="T20" s="18" t="s">
        <v>9</v>
      </c>
      <c r="U20" s="18" t="s">
        <v>9</v>
      </c>
      <c r="V20" s="18" t="s">
        <v>10</v>
      </c>
      <c r="W20" s="18" t="s">
        <v>9</v>
      </c>
      <c r="X20" s="18" t="s">
        <v>9</v>
      </c>
      <c r="Y20" s="18" t="s">
        <v>9</v>
      </c>
      <c r="Z20" s="18" t="s">
        <v>9</v>
      </c>
      <c r="AA20" s="18" t="s">
        <v>9</v>
      </c>
      <c r="AB20" s="18" t="s">
        <v>17</v>
      </c>
      <c r="AC20" s="18" t="s">
        <v>9</v>
      </c>
      <c r="AD20" s="18" t="s">
        <v>9</v>
      </c>
      <c r="AE20" s="18" t="s">
        <v>9</v>
      </c>
      <c r="AF20" s="18" t="s">
        <v>9</v>
      </c>
      <c r="AG20" s="18" t="s">
        <v>9</v>
      </c>
      <c r="AH20" s="18" t="s">
        <v>9</v>
      </c>
      <c r="AI20" s="18" t="s">
        <v>10</v>
      </c>
      <c r="AJ20" s="18" t="s">
        <v>10</v>
      </c>
      <c r="AK20" s="18" t="s">
        <v>10</v>
      </c>
      <c r="AL20" s="18" t="s">
        <v>10</v>
      </c>
      <c r="AM20" s="18" t="s">
        <v>17</v>
      </c>
      <c r="AN20" s="18" t="s">
        <v>17</v>
      </c>
      <c r="AO20" s="18" t="s">
        <v>17</v>
      </c>
      <c r="AP20" s="18" t="s">
        <v>17</v>
      </c>
      <c r="AQ20" s="18" t="s">
        <v>17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/>
      <c r="B21" s="17"/>
      <c r="C21" s="20" t="s">
        <v>28</v>
      </c>
      <c r="D21" s="17" t="n">
        <f aca="false">COUNTIF($G21:$BN21,D$9)</f>
        <v>35</v>
      </c>
      <c r="E21" s="17" t="n">
        <f aca="false">COUNTIF($G21:$BN21,E$9)</f>
        <v>0</v>
      </c>
      <c r="F21" s="17" t="n">
        <f aca="false">COUNTIF($G21:$BN21,F$9)</f>
        <v>0</v>
      </c>
      <c r="G21" s="18"/>
      <c r="H21" s="18" t="s">
        <v>9</v>
      </c>
      <c r="I21" s="18" t="s">
        <v>9</v>
      </c>
      <c r="J21" s="18" t="s">
        <v>9</v>
      </c>
      <c r="K21" s="18" t="s">
        <v>9</v>
      </c>
      <c r="L21" s="18" t="s">
        <v>9</v>
      </c>
      <c r="M21" s="18" t="s">
        <v>9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9</v>
      </c>
      <c r="S21" s="18" t="s">
        <v>9</v>
      </c>
      <c r="T21" s="18" t="s">
        <v>9</v>
      </c>
      <c r="U21" s="18" t="s">
        <v>9</v>
      </c>
      <c r="V21" s="18" t="s">
        <v>9</v>
      </c>
      <c r="W21" s="18" t="s">
        <v>9</v>
      </c>
      <c r="X21" s="18" t="s">
        <v>9</v>
      </c>
      <c r="Y21" s="18" t="s">
        <v>9</v>
      </c>
      <c r="Z21" s="18" t="s">
        <v>9</v>
      </c>
      <c r="AA21" s="18" t="s">
        <v>9</v>
      </c>
      <c r="AB21" s="18" t="s">
        <v>17</v>
      </c>
      <c r="AC21" s="18" t="s">
        <v>9</v>
      </c>
      <c r="AD21" s="18" t="s">
        <v>9</v>
      </c>
      <c r="AE21" s="18" t="s">
        <v>9</v>
      </c>
      <c r="AF21" s="18" t="s">
        <v>9</v>
      </c>
      <c r="AG21" s="18" t="s">
        <v>9</v>
      </c>
      <c r="AH21" s="18" t="s">
        <v>9</v>
      </c>
      <c r="AI21" s="18" t="s">
        <v>9</v>
      </c>
      <c r="AJ21" s="18" t="s">
        <v>9</v>
      </c>
      <c r="AK21" s="18" t="s">
        <v>9</v>
      </c>
      <c r="AL21" s="18" t="s">
        <v>9</v>
      </c>
      <c r="AM21" s="18" t="s">
        <v>17</v>
      </c>
      <c r="AN21" s="18" t="s">
        <v>17</v>
      </c>
      <c r="AO21" s="18" t="s">
        <v>17</v>
      </c>
      <c r="AP21" s="18" t="s">
        <v>17</v>
      </c>
      <c r="AQ21" s="18" t="s">
        <v>17</v>
      </c>
      <c r="AR21" s="18" t="s">
        <v>9</v>
      </c>
      <c r="AS21" s="18" t="s">
        <v>9</v>
      </c>
      <c r="AT21" s="18" t="s">
        <v>9</v>
      </c>
      <c r="AU21" s="18" t="s">
        <v>9</v>
      </c>
      <c r="AV21" s="18" t="s">
        <v>9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/>
      <c r="B22" s="17"/>
      <c r="C22" s="17"/>
      <c r="D22" s="17" t="n">
        <f aca="false">COUNTIF($G22:$BN22,D$9)</f>
        <v>0</v>
      </c>
      <c r="E22" s="17" t="n">
        <f aca="false">COUNTIF($G22:$BN22,E$9)</f>
        <v>0</v>
      </c>
      <c r="F22" s="17" t="n">
        <f aca="false">COUNTIF($G22:$BN22,F$9)</f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/>
      <c r="B23" s="17"/>
      <c r="C23" s="17"/>
      <c r="D23" s="17" t="n">
        <f aca="false">COUNTIF($G23:$BN23,D$9)</f>
        <v>0</v>
      </c>
      <c r="E23" s="17" t="n">
        <f aca="false">COUNTIF($G23:$BN23,E$9)</f>
        <v>0</v>
      </c>
      <c r="F23" s="17" t="n">
        <f aca="false">COUNTIF($G23:$BN23,F$9)</f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/>
      <c r="B24" s="17"/>
      <c r="C24" s="17"/>
      <c r="D24" s="17" t="n">
        <f aca="false">COUNTIF($G24:$BN24,D$9)</f>
        <v>0</v>
      </c>
      <c r="E24" s="17" t="n">
        <f aca="false">COUNTIF($G24:$BN24,E$9)</f>
        <v>0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/>
      <c r="B25" s="17"/>
      <c r="C25" s="17"/>
      <c r="D25" s="17" t="n">
        <f aca="false">COUNTIF($G25:$BN25,D$9)</f>
        <v>0</v>
      </c>
      <c r="E25" s="17" t="n">
        <f aca="false">COUNTIF($G25:$BN25,E$9)</f>
        <v>0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/>
      <c r="B26" s="17"/>
      <c r="C26" s="17"/>
      <c r="D26" s="17" t="n">
        <f aca="false">COUNTIF($G26:$BN26,D$9)</f>
        <v>0</v>
      </c>
      <c r="E26" s="17" t="n">
        <f aca="false">COUNTIF($G26:$BN26,E$9)</f>
        <v>0</v>
      </c>
      <c r="F26" s="17" t="n">
        <f aca="false">COUNTIF($G26:$BN26,F$9)</f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7"/>
      <c r="B27" s="17"/>
      <c r="C27" s="17"/>
      <c r="D27" s="17" t="n">
        <f aca="false">COUNTIF($G27:$BN27,D$9)</f>
        <v>0</v>
      </c>
      <c r="E27" s="17" t="n">
        <f aca="false">COUNTIF($G27:$BN27,E$9)</f>
        <v>0</v>
      </c>
      <c r="F27" s="17" t="n">
        <f aca="false">COUNTIF($G27:$BN27,F$9)</f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customFormat="false" ht="15.75" hidden="false" customHeight="true" outlineLevel="0" collapsed="false">
      <c r="A28" s="17"/>
      <c r="B28" s="17"/>
      <c r="C28" s="17"/>
      <c r="D28" s="17" t="n">
        <f aca="false">COUNTIF($G28:$BN28,D$9)</f>
        <v>0</v>
      </c>
      <c r="E28" s="17" t="n">
        <f aca="false">COUNTIF($G28:$BN28,E$9)</f>
        <v>0</v>
      </c>
      <c r="F28" s="17" t="n">
        <f aca="false">COUNTIF($G28:$BN28,F$9)</f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</row>
    <row r="29" customFormat="false" ht="15.75" hidden="false" customHeight="true" outlineLevel="0" collapsed="false">
      <c r="A29" s="17"/>
      <c r="B29" s="17"/>
      <c r="C29" s="17"/>
      <c r="D29" s="17" t="n">
        <f aca="false">COUNTIF($G29:$BN29,D$9)</f>
        <v>0</v>
      </c>
      <c r="E29" s="17" t="n">
        <f aca="false">COUNTIF($G29:$BN29,E$9)</f>
        <v>0</v>
      </c>
      <c r="F29" s="17" t="n">
        <f aca="false">COUNTIF($G29:$BN29,F$9)</f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G2:Y4"/>
    <mergeCell ref="J6:Q6"/>
  </mergeCells>
  <dataValidations count="3">
    <dataValidation allowBlank="true" errorStyle="stop" operator="between" showDropDown="false" showErrorMessage="true" showInputMessage="false" sqref="G7:BN7" type="list">
      <formula1>"SHAKIL,JIHAD,MAM"</formula1>
      <formula2>0</formula2>
    </dataValidation>
    <dataValidation allowBlank="true" errorStyle="stop" operator="between" showDropDown="false" showErrorMessage="true" showInputMessage="false" sqref="G10:BN29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E2" activeCellId="0" sqref="E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0.51"/>
    <col collapsed="false" customWidth="true" hidden="false" outlineLevel="0" max="3" min="3" style="0" width="22"/>
    <col collapsed="false" customWidth="true" hidden="false" outlineLevel="0" max="6" min="4" style="0" width="6.38"/>
    <col collapsed="false" customWidth="true" hidden="false" outlineLevel="0" max="104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29</v>
      </c>
      <c r="G2" s="3" t="s">
        <v>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45949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46142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31</v>
      </c>
      <c r="BM7" s="9" t="s">
        <v>31</v>
      </c>
      <c r="BN7" s="9" t="s">
        <v>31</v>
      </c>
      <c r="BO7" s="9" t="s">
        <v>31</v>
      </c>
      <c r="BP7" s="9" t="s">
        <v>31</v>
      </c>
      <c r="BQ7" s="9" t="s">
        <v>31</v>
      </c>
      <c r="BR7" s="9" t="s">
        <v>31</v>
      </c>
      <c r="BS7" s="9" t="s">
        <v>5</v>
      </c>
      <c r="BT7" s="9" t="s">
        <v>5</v>
      </c>
      <c r="BU7" s="9" t="s">
        <v>5</v>
      </c>
      <c r="BV7" s="9" t="s">
        <v>5</v>
      </c>
      <c r="BW7" s="9" t="s">
        <v>5</v>
      </c>
      <c r="BX7" s="9" t="s">
        <v>5</v>
      </c>
      <c r="BY7" s="9" t="s">
        <v>31</v>
      </c>
      <c r="BZ7" s="9" t="s">
        <v>31</v>
      </c>
      <c r="CA7" s="9" t="s">
        <v>31</v>
      </c>
      <c r="CB7" s="9" t="s">
        <v>31</v>
      </c>
      <c r="CC7" s="9" t="s">
        <v>15</v>
      </c>
      <c r="CD7" s="9" t="s">
        <v>15</v>
      </c>
      <c r="CE7" s="9" t="s">
        <v>5</v>
      </c>
      <c r="CF7" s="9" t="s">
        <v>31</v>
      </c>
      <c r="CG7" s="9" t="s">
        <v>15</v>
      </c>
      <c r="CH7" s="9" t="s">
        <v>31</v>
      </c>
      <c r="CI7" s="9" t="s">
        <v>15</v>
      </c>
      <c r="CJ7" s="9" t="s">
        <v>15</v>
      </c>
      <c r="CK7" s="9" t="s">
        <v>5</v>
      </c>
      <c r="CL7" s="9" t="s">
        <v>5</v>
      </c>
      <c r="CM7" s="9" t="s">
        <v>5</v>
      </c>
      <c r="CN7" s="9" t="s">
        <v>5</v>
      </c>
      <c r="CO7" s="9" t="s">
        <v>5</v>
      </c>
      <c r="CP7" s="9" t="s">
        <v>5</v>
      </c>
      <c r="CQ7" s="9" t="s">
        <v>5</v>
      </c>
      <c r="CR7" s="9" t="s">
        <v>5</v>
      </c>
      <c r="CS7" s="9" t="s">
        <v>5</v>
      </c>
      <c r="CT7" s="9" t="s">
        <v>5</v>
      </c>
      <c r="CU7" s="9" t="s">
        <v>5</v>
      </c>
      <c r="CV7" s="9" t="s">
        <v>5</v>
      </c>
      <c r="CW7" s="9" t="s">
        <v>5</v>
      </c>
      <c r="CX7" s="9" t="s">
        <v>5</v>
      </c>
      <c r="CY7" s="9" t="s">
        <v>5</v>
      </c>
      <c r="CZ7" s="9" t="s">
        <v>5</v>
      </c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  <c r="BO8" s="10" t="str">
        <f aca="false">TEXT(BO9,"DDD")</f>
        <v>Sun</v>
      </c>
      <c r="BP8" s="10" t="str">
        <f aca="false">TEXT(BP9,"DDD")</f>
        <v>Tue</v>
      </c>
      <c r="BQ8" s="10" t="str">
        <f aca="false">TEXT(BQ9,"DDD")</f>
        <v>Thu</v>
      </c>
      <c r="BR8" s="10" t="str">
        <f aca="false">TEXT(BR9,"DDD")</f>
        <v>Sun</v>
      </c>
      <c r="BS8" s="10" t="str">
        <f aca="false">TEXT(BS9,"DDD")</f>
        <v>Tue</v>
      </c>
      <c r="BT8" s="10" t="str">
        <f aca="false">TEXT(BT9,"DDD")</f>
        <v>Thu</v>
      </c>
      <c r="BU8" s="10" t="str">
        <f aca="false">TEXT(BU9,"DDD")</f>
        <v>Sun</v>
      </c>
      <c r="BV8" s="10" t="str">
        <f aca="false">TEXT(BV9,"DDD")</f>
        <v>Tue</v>
      </c>
      <c r="BW8" s="10" t="str">
        <f aca="false">TEXT(BW9,"DDD")</f>
        <v>Thu</v>
      </c>
      <c r="BX8" s="10" t="str">
        <f aca="false">TEXT(BX9,"DDD")</f>
        <v>Sun</v>
      </c>
      <c r="BY8" s="10" t="str">
        <f aca="false">TEXT(BY9,"DDD")</f>
        <v>Tue</v>
      </c>
      <c r="BZ8" s="10" t="str">
        <f aca="false">TEXT(BZ9,"DDD")</f>
        <v>Thu</v>
      </c>
      <c r="CA8" s="10" t="str">
        <f aca="false">TEXT(CA9,"DDD")</f>
        <v>Sun</v>
      </c>
      <c r="CB8" s="10" t="str">
        <f aca="false">TEXT(CB9,"DDD")</f>
        <v>Tue</v>
      </c>
      <c r="CC8" s="10" t="str">
        <f aca="false">TEXT(CC9,"DDD")</f>
        <v>Thu</v>
      </c>
      <c r="CD8" s="10" t="str">
        <f aca="false">TEXT(CD9,"DDD")</f>
        <v>Sun</v>
      </c>
      <c r="CE8" s="10" t="str">
        <f aca="false">TEXT(CE9,"DDD")</f>
        <v>Tue</v>
      </c>
      <c r="CF8" s="10" t="str">
        <f aca="false">TEXT(CF9,"DDD")</f>
        <v>Thu</v>
      </c>
      <c r="CG8" s="10" t="str">
        <f aca="false">TEXT(CG9,"DDD")</f>
        <v>Sun</v>
      </c>
      <c r="CH8" s="10" t="str">
        <f aca="false">TEXT(CH9,"DDD")</f>
        <v>Tue</v>
      </c>
      <c r="CI8" s="10" t="str">
        <f aca="false">TEXT(CI9,"DDD")</f>
        <v>Thu</v>
      </c>
      <c r="CJ8" s="10" t="str">
        <f aca="false">TEXT(CJ9,"DDD")</f>
        <v>Sun</v>
      </c>
      <c r="CK8" s="10" t="str">
        <f aca="false">TEXT(CK9,"DDD")</f>
        <v>Tue</v>
      </c>
      <c r="CL8" s="10" t="str">
        <f aca="false">TEXT(CL9,"DDD")</f>
        <v>Thu</v>
      </c>
      <c r="CM8" s="10" t="str">
        <f aca="false">TEXT(CM9,"DDD")</f>
        <v>Sun</v>
      </c>
      <c r="CN8" s="10" t="str">
        <f aca="false">TEXT(CN9,"DDD")</f>
        <v>Tue</v>
      </c>
      <c r="CO8" s="10" t="str">
        <f aca="false">TEXT(CO9,"DDD")</f>
        <v>Thu</v>
      </c>
      <c r="CP8" s="10" t="str">
        <f aca="false">TEXT(CP9,"DDD")</f>
        <v>Sun</v>
      </c>
      <c r="CQ8" s="10" t="str">
        <f aca="false">TEXT(CQ9,"DDD")</f>
        <v>Tue</v>
      </c>
      <c r="CR8" s="10" t="str">
        <f aca="false">TEXT(CR9,"DDD")</f>
        <v>Thu</v>
      </c>
      <c r="CS8" s="10" t="str">
        <f aca="false">TEXT(CS9,"DDD")</f>
        <v>Sun</v>
      </c>
      <c r="CT8" s="10" t="str">
        <f aca="false">TEXT(CT9,"DDD")</f>
        <v>Tue</v>
      </c>
      <c r="CU8" s="10" t="str">
        <f aca="false">TEXT(CU9,"DDD")</f>
        <v>Thu</v>
      </c>
      <c r="CV8" s="10" t="str">
        <f aca="false">TEXT(CV9,"DDD")</f>
        <v>Sun</v>
      </c>
      <c r="CW8" s="10" t="str">
        <f aca="false">TEXT(CW9,"DDD")</f>
        <v>Tue</v>
      </c>
      <c r="CX8" s="10" t="str">
        <f aca="false">TEXT(CX9,"DDD")</f>
        <v>Thu</v>
      </c>
      <c r="CY8" s="10" t="str">
        <f aca="false">TEXT(CY9,"DDD")</f>
        <v>Sun</v>
      </c>
      <c r="CZ8" s="10" t="str">
        <f aca="false">TEXT(CZ9,"DDD")</f>
        <v>Tue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45949</v>
      </c>
      <c r="H9" s="15" t="n">
        <f aca="false">G9+2</f>
        <v>45951</v>
      </c>
      <c r="I9" s="15" t="n">
        <f aca="false">H9+2</f>
        <v>45953</v>
      </c>
      <c r="J9" s="15" t="n">
        <f aca="false">I9+3</f>
        <v>45956</v>
      </c>
      <c r="K9" s="15" t="n">
        <f aca="false">J9+2</f>
        <v>45958</v>
      </c>
      <c r="L9" s="15" t="n">
        <f aca="false">K9+2</f>
        <v>45960</v>
      </c>
      <c r="M9" s="15" t="n">
        <f aca="false">L9+3</f>
        <v>45963</v>
      </c>
      <c r="N9" s="15" t="n">
        <f aca="false">M9+2</f>
        <v>45965</v>
      </c>
      <c r="O9" s="15" t="n">
        <f aca="false">N9+2</f>
        <v>45967</v>
      </c>
      <c r="P9" s="15" t="n">
        <f aca="false">O9+3</f>
        <v>45970</v>
      </c>
      <c r="Q9" s="15" t="n">
        <f aca="false">P9+2</f>
        <v>45972</v>
      </c>
      <c r="R9" s="15" t="n">
        <f aca="false">Q9+2</f>
        <v>45974</v>
      </c>
      <c r="S9" s="15" t="n">
        <f aca="false">R9+3</f>
        <v>45977</v>
      </c>
      <c r="T9" s="15" t="n">
        <f aca="false">S9+2</f>
        <v>45979</v>
      </c>
      <c r="U9" s="15" t="n">
        <f aca="false">T9+2</f>
        <v>45981</v>
      </c>
      <c r="V9" s="15" t="n">
        <f aca="false">U9+3</f>
        <v>45984</v>
      </c>
      <c r="W9" s="15" t="n">
        <f aca="false">V9+2</f>
        <v>45986</v>
      </c>
      <c r="X9" s="15" t="n">
        <f aca="false">W9+2</f>
        <v>45988</v>
      </c>
      <c r="Y9" s="15" t="n">
        <f aca="false">X9+3</f>
        <v>45991</v>
      </c>
      <c r="Z9" s="15" t="n">
        <f aca="false">Y9+2</f>
        <v>45993</v>
      </c>
      <c r="AA9" s="15" t="n">
        <f aca="false">Z9+2</f>
        <v>45995</v>
      </c>
      <c r="AB9" s="15" t="n">
        <f aca="false">AA9+3</f>
        <v>45998</v>
      </c>
      <c r="AC9" s="15" t="n">
        <f aca="false">AB9+2</f>
        <v>46000</v>
      </c>
      <c r="AD9" s="15" t="n">
        <f aca="false">AC9+2</f>
        <v>46002</v>
      </c>
      <c r="AE9" s="15" t="n">
        <f aca="false">AD9+3</f>
        <v>46005</v>
      </c>
      <c r="AF9" s="15" t="n">
        <f aca="false">AE9+2</f>
        <v>46007</v>
      </c>
      <c r="AG9" s="15" t="n">
        <f aca="false">AF9+2</f>
        <v>46009</v>
      </c>
      <c r="AH9" s="15" t="n">
        <f aca="false">AG9+3</f>
        <v>46012</v>
      </c>
      <c r="AI9" s="15" t="n">
        <f aca="false">AH9+2</f>
        <v>46014</v>
      </c>
      <c r="AJ9" s="15" t="n">
        <f aca="false">AI9+2</f>
        <v>46016</v>
      </c>
      <c r="AK9" s="15" t="n">
        <f aca="false">AJ9+3</f>
        <v>46019</v>
      </c>
      <c r="AL9" s="15" t="n">
        <f aca="false">AK9+2</f>
        <v>46021</v>
      </c>
      <c r="AM9" s="15" t="n">
        <f aca="false">AL9+2</f>
        <v>46023</v>
      </c>
      <c r="AN9" s="15" t="n">
        <f aca="false">AM9+3</f>
        <v>46026</v>
      </c>
      <c r="AO9" s="15" t="n">
        <f aca="false">AN9+2</f>
        <v>46028</v>
      </c>
      <c r="AP9" s="15" t="n">
        <f aca="false">AO9+2</f>
        <v>46030</v>
      </c>
      <c r="AQ9" s="15" t="n">
        <f aca="false">AP9+3</f>
        <v>46033</v>
      </c>
      <c r="AR9" s="15" t="n">
        <f aca="false">AQ9+2</f>
        <v>46035</v>
      </c>
      <c r="AS9" s="15" t="n">
        <f aca="false">AR9+2</f>
        <v>46037</v>
      </c>
      <c r="AT9" s="15" t="n">
        <f aca="false">AS9+3</f>
        <v>46040</v>
      </c>
      <c r="AU9" s="15" t="n">
        <f aca="false">AT9+2</f>
        <v>46042</v>
      </c>
      <c r="AV9" s="15" t="n">
        <f aca="false">AU9+2</f>
        <v>46044</v>
      </c>
      <c r="AW9" s="15" t="n">
        <f aca="false">AV9+3</f>
        <v>46047</v>
      </c>
      <c r="AX9" s="15" t="n">
        <f aca="false">AW9+2</f>
        <v>46049</v>
      </c>
      <c r="AY9" s="15" t="n">
        <f aca="false">AX9+2</f>
        <v>46051</v>
      </c>
      <c r="AZ9" s="15" t="n">
        <f aca="false">AY9+3</f>
        <v>46054</v>
      </c>
      <c r="BA9" s="15" t="n">
        <f aca="false">AZ9+2</f>
        <v>46056</v>
      </c>
      <c r="BB9" s="15" t="n">
        <f aca="false">BA9+2</f>
        <v>46058</v>
      </c>
      <c r="BC9" s="15" t="n">
        <f aca="false">BB9+3</f>
        <v>46061</v>
      </c>
      <c r="BD9" s="15" t="n">
        <f aca="false">BC9+2</f>
        <v>46063</v>
      </c>
      <c r="BE9" s="15" t="n">
        <f aca="false">BD9+2</f>
        <v>46065</v>
      </c>
      <c r="BF9" s="15" t="n">
        <f aca="false">BE9+3</f>
        <v>46068</v>
      </c>
      <c r="BG9" s="15" t="n">
        <f aca="false">BF9+2</f>
        <v>46070</v>
      </c>
      <c r="BH9" s="15" t="n">
        <f aca="false">BG9+2</f>
        <v>46072</v>
      </c>
      <c r="BI9" s="15" t="n">
        <f aca="false">BH9+3</f>
        <v>46075</v>
      </c>
      <c r="BJ9" s="15" t="n">
        <f aca="false">BI9+2</f>
        <v>46077</v>
      </c>
      <c r="BK9" s="15" t="n">
        <f aca="false">BJ9+2</f>
        <v>46079</v>
      </c>
      <c r="BL9" s="15" t="n">
        <f aca="false">BK9+3</f>
        <v>46082</v>
      </c>
      <c r="BM9" s="15" t="n">
        <f aca="false">BL9+2</f>
        <v>46084</v>
      </c>
      <c r="BN9" s="15" t="n">
        <f aca="false">BM9+2</f>
        <v>46086</v>
      </c>
      <c r="BO9" s="15" t="n">
        <f aca="false">BN9+3</f>
        <v>46089</v>
      </c>
      <c r="BP9" s="15" t="n">
        <f aca="false">BO9+2</f>
        <v>46091</v>
      </c>
      <c r="BQ9" s="15" t="n">
        <f aca="false">BP9+2</f>
        <v>46093</v>
      </c>
      <c r="BR9" s="15" t="n">
        <f aca="false">BQ9+3</f>
        <v>46096</v>
      </c>
      <c r="BS9" s="15" t="n">
        <f aca="false">BR9+2</f>
        <v>46098</v>
      </c>
      <c r="BT9" s="15" t="n">
        <f aca="false">BS9+2</f>
        <v>46100</v>
      </c>
      <c r="BU9" s="15" t="n">
        <f aca="false">BT9+3</f>
        <v>46103</v>
      </c>
      <c r="BV9" s="15" t="n">
        <f aca="false">BU9+2</f>
        <v>46105</v>
      </c>
      <c r="BW9" s="15" t="n">
        <f aca="false">BV9+2</f>
        <v>46107</v>
      </c>
      <c r="BX9" s="15" t="n">
        <f aca="false">BW9+3</f>
        <v>46110</v>
      </c>
      <c r="BY9" s="15" t="n">
        <f aca="false">BX9+2</f>
        <v>46112</v>
      </c>
      <c r="BZ9" s="15" t="n">
        <f aca="false">BY9+2</f>
        <v>46114</v>
      </c>
      <c r="CA9" s="15" t="n">
        <f aca="false">BZ9+3</f>
        <v>46117</v>
      </c>
      <c r="CB9" s="15" t="n">
        <f aca="false">CA9+2</f>
        <v>46119</v>
      </c>
      <c r="CC9" s="15" t="n">
        <f aca="false">CB9+2</f>
        <v>46121</v>
      </c>
      <c r="CD9" s="15" t="n">
        <f aca="false">CC9+3</f>
        <v>46124</v>
      </c>
      <c r="CE9" s="15" t="n">
        <f aca="false">CD9+2</f>
        <v>46126</v>
      </c>
      <c r="CF9" s="15" t="n">
        <f aca="false">CE9+2</f>
        <v>46128</v>
      </c>
      <c r="CG9" s="15" t="n">
        <f aca="false">CF9+3</f>
        <v>46131</v>
      </c>
      <c r="CH9" s="15" t="n">
        <f aca="false">CG9+2</f>
        <v>46133</v>
      </c>
      <c r="CI9" s="15" t="n">
        <f aca="false">CH9+2</f>
        <v>46135</v>
      </c>
      <c r="CJ9" s="15" t="n">
        <f aca="false">CI9+3</f>
        <v>46138</v>
      </c>
      <c r="CK9" s="15" t="n">
        <f aca="false">CJ9+2</f>
        <v>46140</v>
      </c>
      <c r="CL9" s="15" t="n">
        <f aca="false">CK9+2</f>
        <v>46142</v>
      </c>
      <c r="CM9" s="15" t="n">
        <f aca="false">CL9+3</f>
        <v>46145</v>
      </c>
      <c r="CN9" s="15" t="n">
        <f aca="false">CM9+2</f>
        <v>46147</v>
      </c>
      <c r="CO9" s="15" t="n">
        <f aca="false">CN9+2</f>
        <v>46149</v>
      </c>
      <c r="CP9" s="15" t="n">
        <f aca="false">CO9+3</f>
        <v>46152</v>
      </c>
      <c r="CQ9" s="15" t="n">
        <f aca="false">CP9+2</f>
        <v>46154</v>
      </c>
      <c r="CR9" s="15" t="n">
        <f aca="false">CQ9+2</f>
        <v>46156</v>
      </c>
      <c r="CS9" s="15" t="n">
        <f aca="false">CR9+3</f>
        <v>46159</v>
      </c>
      <c r="CT9" s="15" t="n">
        <f aca="false">CS9+2</f>
        <v>46161</v>
      </c>
      <c r="CU9" s="15" t="n">
        <f aca="false">CT9+2</f>
        <v>46163</v>
      </c>
      <c r="CV9" s="15" t="n">
        <f aca="false">CU9+3</f>
        <v>46166</v>
      </c>
      <c r="CW9" s="15" t="n">
        <f aca="false">CV9+2</f>
        <v>46168</v>
      </c>
      <c r="CX9" s="15" t="n">
        <f aca="false">CW9+2</f>
        <v>46170</v>
      </c>
      <c r="CY9" s="15" t="n">
        <f aca="false">CX9+3</f>
        <v>46173</v>
      </c>
      <c r="CZ9" s="15" t="n">
        <f aca="false">CY9+2</f>
        <v>46175</v>
      </c>
    </row>
    <row r="10" customFormat="false" ht="15.75" hidden="false" customHeight="true" outlineLevel="0" collapsed="false">
      <c r="A10" s="17"/>
      <c r="B10" s="21" t="n">
        <v>25197</v>
      </c>
      <c r="C10" s="22" t="s">
        <v>32</v>
      </c>
      <c r="D10" s="17" t="n">
        <f aca="false">COUNTIF($G10:$CZ10,D$9)</f>
        <v>65</v>
      </c>
      <c r="E10" s="17" t="n">
        <f aca="false">COUNTIF($G10:$CZ10,E$9)</f>
        <v>1</v>
      </c>
      <c r="F10" s="17" t="n">
        <f aca="false">COUNTIF($G10:$CZ10,F$9)</f>
        <v>0</v>
      </c>
      <c r="G10" s="18"/>
      <c r="H10" s="18" t="s">
        <v>9</v>
      </c>
      <c r="I10" s="18" t="s">
        <v>9</v>
      </c>
      <c r="J10" s="18" t="s">
        <v>9</v>
      </c>
      <c r="K10" s="18" t="s">
        <v>9</v>
      </c>
      <c r="L10" s="18"/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9</v>
      </c>
      <c r="R10" s="18" t="s">
        <v>9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9</v>
      </c>
      <c r="X10" s="18" t="s">
        <v>9</v>
      </c>
      <c r="Y10" s="18" t="s">
        <v>9</v>
      </c>
      <c r="Z10" s="18" t="s">
        <v>9</v>
      </c>
      <c r="AA10" s="18" t="s">
        <v>9</v>
      </c>
      <c r="AB10" s="18" t="s">
        <v>9</v>
      </c>
      <c r="AC10" s="18" t="s">
        <v>9</v>
      </c>
      <c r="AD10" s="18" t="s">
        <v>9</v>
      </c>
      <c r="AE10" s="18" t="s">
        <v>9</v>
      </c>
      <c r="AF10" s="18" t="s">
        <v>17</v>
      </c>
      <c r="AG10" s="18" t="s">
        <v>9</v>
      </c>
      <c r="AH10" s="18" t="s">
        <v>9</v>
      </c>
      <c r="AI10" s="18" t="s">
        <v>9</v>
      </c>
      <c r="AJ10" s="18" t="s">
        <v>17</v>
      </c>
      <c r="AK10" s="18" t="s">
        <v>9</v>
      </c>
      <c r="AL10" s="18" t="s">
        <v>9</v>
      </c>
      <c r="AM10" s="18" t="s">
        <v>9</v>
      </c>
      <c r="AN10" s="18" t="s">
        <v>9</v>
      </c>
      <c r="AO10" s="18" t="s">
        <v>17</v>
      </c>
      <c r="AP10" s="18" t="s">
        <v>9</v>
      </c>
      <c r="AQ10" s="18" t="s">
        <v>9</v>
      </c>
      <c r="AR10" s="18" t="s">
        <v>9</v>
      </c>
      <c r="AS10" s="18" t="s">
        <v>9</v>
      </c>
      <c r="AT10" s="18" t="s">
        <v>9</v>
      </c>
      <c r="AU10" s="18" t="s">
        <v>9</v>
      </c>
      <c r="AV10" s="18" t="s">
        <v>9</v>
      </c>
      <c r="AW10" s="18" t="s">
        <v>9</v>
      </c>
      <c r="AX10" s="18" t="s">
        <v>9</v>
      </c>
      <c r="AY10" s="18" t="s">
        <v>9</v>
      </c>
      <c r="AZ10" s="18" t="s">
        <v>9</v>
      </c>
      <c r="BA10" s="18" t="s">
        <v>9</v>
      </c>
      <c r="BB10" s="18" t="s">
        <v>10</v>
      </c>
      <c r="BC10" s="18" t="s">
        <v>17</v>
      </c>
      <c r="BD10" s="18" t="s">
        <v>17</v>
      </c>
      <c r="BE10" s="18" t="s">
        <v>17</v>
      </c>
      <c r="BF10" s="18" t="s">
        <v>9</v>
      </c>
      <c r="BG10" s="18" t="s">
        <v>9</v>
      </c>
      <c r="BH10" s="18" t="s">
        <v>9</v>
      </c>
      <c r="BI10" s="18" t="s">
        <v>9</v>
      </c>
      <c r="BJ10" s="18" t="s">
        <v>9</v>
      </c>
      <c r="BK10" s="18" t="s">
        <v>9</v>
      </c>
      <c r="BL10" s="18" t="s">
        <v>9</v>
      </c>
      <c r="BM10" s="18" t="s">
        <v>9</v>
      </c>
      <c r="BN10" s="18" t="s">
        <v>9</v>
      </c>
      <c r="BO10" s="18" t="s">
        <v>9</v>
      </c>
      <c r="BP10" s="18" t="s">
        <v>9</v>
      </c>
      <c r="BQ10" s="18" t="s">
        <v>17</v>
      </c>
      <c r="BR10" s="18" t="s">
        <v>9</v>
      </c>
      <c r="BS10" s="18" t="s">
        <v>17</v>
      </c>
      <c r="BT10" s="18" t="s">
        <v>17</v>
      </c>
      <c r="BU10" s="18" t="s">
        <v>17</v>
      </c>
      <c r="BV10" s="18" t="s">
        <v>17</v>
      </c>
      <c r="BW10" s="18" t="s">
        <v>17</v>
      </c>
      <c r="BX10" s="18" t="s">
        <v>17</v>
      </c>
      <c r="BY10" s="18" t="s">
        <v>9</v>
      </c>
      <c r="BZ10" s="18" t="s">
        <v>9</v>
      </c>
      <c r="CA10" s="18" t="s">
        <v>9</v>
      </c>
      <c r="CB10" s="18" t="s">
        <v>9</v>
      </c>
      <c r="CC10" s="18" t="s">
        <v>9</v>
      </c>
      <c r="CD10" s="18" t="s">
        <v>9</v>
      </c>
      <c r="CE10" s="18" t="s">
        <v>17</v>
      </c>
      <c r="CF10" s="18" t="s">
        <v>9</v>
      </c>
      <c r="CG10" s="18" t="s">
        <v>9</v>
      </c>
      <c r="CH10" s="18" t="s">
        <v>9</v>
      </c>
      <c r="CI10" s="18" t="s">
        <v>9</v>
      </c>
      <c r="CJ10" s="18" t="s">
        <v>9</v>
      </c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</row>
    <row r="11" customFormat="false" ht="15.75" hidden="false" customHeight="true" outlineLevel="0" collapsed="false">
      <c r="A11" s="17"/>
      <c r="B11" s="23" t="n">
        <v>25199</v>
      </c>
      <c r="C11" s="24" t="s">
        <v>33</v>
      </c>
      <c r="D11" s="17" t="n">
        <f aca="false">COUNTIF($G11:$CZ11,D$9)</f>
        <v>32</v>
      </c>
      <c r="E11" s="17" t="n">
        <f aca="false">COUNTIF($G11:$CZ11,E$9)</f>
        <v>34</v>
      </c>
      <c r="F11" s="17" t="n">
        <f aca="false">COUNTIF($G11:$CZ11,F$9)</f>
        <v>0</v>
      </c>
      <c r="G11" s="18"/>
      <c r="H11" s="18" t="s">
        <v>9</v>
      </c>
      <c r="I11" s="18" t="s">
        <v>9</v>
      </c>
      <c r="J11" s="18" t="s">
        <v>9</v>
      </c>
      <c r="K11" s="18" t="s">
        <v>9</v>
      </c>
      <c r="L11" s="18"/>
      <c r="M11" s="18" t="s">
        <v>9</v>
      </c>
      <c r="N11" s="18" t="s">
        <v>9</v>
      </c>
      <c r="O11" s="18" t="s">
        <v>9</v>
      </c>
      <c r="P11" s="18" t="s">
        <v>9</v>
      </c>
      <c r="Q11" s="18" t="s">
        <v>9</v>
      </c>
      <c r="R11" s="18" t="s">
        <v>9</v>
      </c>
      <c r="S11" s="18" t="s">
        <v>9</v>
      </c>
      <c r="T11" s="18" t="s">
        <v>9</v>
      </c>
      <c r="U11" s="18" t="s">
        <v>9</v>
      </c>
      <c r="V11" s="18" t="s">
        <v>9</v>
      </c>
      <c r="W11" s="18" t="s">
        <v>9</v>
      </c>
      <c r="X11" s="18" t="s">
        <v>9</v>
      </c>
      <c r="Y11" s="18" t="s">
        <v>9</v>
      </c>
      <c r="Z11" s="18" t="s">
        <v>9</v>
      </c>
      <c r="AA11" s="18" t="s">
        <v>9</v>
      </c>
      <c r="AB11" s="18" t="s">
        <v>9</v>
      </c>
      <c r="AC11" s="18" t="s">
        <v>10</v>
      </c>
      <c r="AD11" s="18" t="s">
        <v>10</v>
      </c>
      <c r="AE11" s="18" t="s">
        <v>9</v>
      </c>
      <c r="AF11" s="18" t="s">
        <v>17</v>
      </c>
      <c r="AG11" s="18" t="s">
        <v>9</v>
      </c>
      <c r="AH11" s="18" t="s">
        <v>9</v>
      </c>
      <c r="AI11" s="18" t="s">
        <v>9</v>
      </c>
      <c r="AJ11" s="18" t="s">
        <v>17</v>
      </c>
      <c r="AK11" s="18" t="s">
        <v>9</v>
      </c>
      <c r="AL11" s="18" t="s">
        <v>9</v>
      </c>
      <c r="AM11" s="18" t="s">
        <v>10</v>
      </c>
      <c r="AN11" s="18" t="s">
        <v>9</v>
      </c>
      <c r="AO11" s="18" t="s">
        <v>17</v>
      </c>
      <c r="AP11" s="18" t="s">
        <v>10</v>
      </c>
      <c r="AQ11" s="18" t="s">
        <v>9</v>
      </c>
      <c r="AR11" s="18" t="s">
        <v>10</v>
      </c>
      <c r="AS11" s="18" t="s">
        <v>9</v>
      </c>
      <c r="AT11" s="18" t="s">
        <v>9</v>
      </c>
      <c r="AU11" s="18" t="s">
        <v>9</v>
      </c>
      <c r="AV11" s="18" t="s">
        <v>10</v>
      </c>
      <c r="AW11" s="18" t="s">
        <v>9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17</v>
      </c>
      <c r="BD11" s="18" t="s">
        <v>17</v>
      </c>
      <c r="BE11" s="18" t="s">
        <v>17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17</v>
      </c>
      <c r="BR11" s="18" t="s">
        <v>10</v>
      </c>
      <c r="BS11" s="18" t="s">
        <v>17</v>
      </c>
      <c r="BT11" s="18" t="s">
        <v>17</v>
      </c>
      <c r="BU11" s="18" t="s">
        <v>17</v>
      </c>
      <c r="BV11" s="18" t="s">
        <v>17</v>
      </c>
      <c r="BW11" s="18" t="s">
        <v>17</v>
      </c>
      <c r="BX11" s="18" t="s">
        <v>17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17</v>
      </c>
      <c r="CF11" s="18" t="s">
        <v>10</v>
      </c>
      <c r="CG11" s="18" t="s">
        <v>10</v>
      </c>
      <c r="CH11" s="18" t="s">
        <v>10</v>
      </c>
      <c r="CI11" s="18" t="s">
        <v>10</v>
      </c>
      <c r="CJ11" s="18" t="s">
        <v>10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</row>
    <row r="12" customFormat="false" ht="15.75" hidden="false" customHeight="true" outlineLevel="0" collapsed="false">
      <c r="A12" s="17"/>
      <c r="B12" s="21" t="n">
        <v>25200</v>
      </c>
      <c r="C12" s="22" t="s">
        <v>34</v>
      </c>
      <c r="D12" s="17" t="n">
        <f aca="false">COUNTIF($G12:$CZ12,D$9)</f>
        <v>46</v>
      </c>
      <c r="E12" s="17" t="n">
        <f aca="false">COUNTIF($G12:$CZ12,E$9)</f>
        <v>19</v>
      </c>
      <c r="F12" s="17" t="n">
        <f aca="false">COUNTIF($G12:$CZ12,F$9)</f>
        <v>1</v>
      </c>
      <c r="G12" s="18"/>
      <c r="H12" s="18" t="s">
        <v>9</v>
      </c>
      <c r="I12" s="18" t="s">
        <v>9</v>
      </c>
      <c r="J12" s="18" t="s">
        <v>9</v>
      </c>
      <c r="K12" s="18" t="s">
        <v>9</v>
      </c>
      <c r="L12" s="18"/>
      <c r="M12" s="18" t="s">
        <v>9</v>
      </c>
      <c r="N12" s="18" t="s">
        <v>9</v>
      </c>
      <c r="O12" s="18" t="s">
        <v>9</v>
      </c>
      <c r="P12" s="18" t="s">
        <v>9</v>
      </c>
      <c r="Q12" s="18" t="s">
        <v>9</v>
      </c>
      <c r="R12" s="18" t="s">
        <v>9</v>
      </c>
      <c r="S12" s="18" t="s">
        <v>9</v>
      </c>
      <c r="T12" s="18" t="s">
        <v>9</v>
      </c>
      <c r="U12" s="18" t="s">
        <v>11</v>
      </c>
      <c r="V12" s="18" t="s">
        <v>9</v>
      </c>
      <c r="W12" s="18" t="s">
        <v>9</v>
      </c>
      <c r="X12" s="18" t="s">
        <v>9</v>
      </c>
      <c r="Y12" s="18" t="s">
        <v>9</v>
      </c>
      <c r="Z12" s="18" t="s">
        <v>9</v>
      </c>
      <c r="AA12" s="18" t="s">
        <v>9</v>
      </c>
      <c r="AB12" s="18" t="s">
        <v>9</v>
      </c>
      <c r="AC12" s="18" t="s">
        <v>9</v>
      </c>
      <c r="AD12" s="18" t="s">
        <v>10</v>
      </c>
      <c r="AE12" s="18" t="s">
        <v>9</v>
      </c>
      <c r="AF12" s="18" t="s">
        <v>17</v>
      </c>
      <c r="AG12" s="18" t="s">
        <v>10</v>
      </c>
      <c r="AH12" s="18" t="s">
        <v>10</v>
      </c>
      <c r="AI12" s="18" t="s">
        <v>9</v>
      </c>
      <c r="AJ12" s="18" t="s">
        <v>17</v>
      </c>
      <c r="AK12" s="18" t="s">
        <v>9</v>
      </c>
      <c r="AL12" s="18" t="s">
        <v>9</v>
      </c>
      <c r="AM12" s="18" t="s">
        <v>9</v>
      </c>
      <c r="AN12" s="18" t="s">
        <v>9</v>
      </c>
      <c r="AO12" s="18" t="s">
        <v>17</v>
      </c>
      <c r="AP12" s="18" t="s">
        <v>9</v>
      </c>
      <c r="AQ12" s="18" t="s">
        <v>10</v>
      </c>
      <c r="AR12" s="18" t="s">
        <v>9</v>
      </c>
      <c r="AS12" s="18" t="s">
        <v>9</v>
      </c>
      <c r="AT12" s="18" t="s">
        <v>9</v>
      </c>
      <c r="AU12" s="18" t="s">
        <v>9</v>
      </c>
      <c r="AV12" s="18" t="s">
        <v>9</v>
      </c>
      <c r="AW12" s="18" t="s">
        <v>10</v>
      </c>
      <c r="AX12" s="18" t="s">
        <v>9</v>
      </c>
      <c r="AY12" s="18" t="s">
        <v>9</v>
      </c>
      <c r="AZ12" s="18" t="s">
        <v>10</v>
      </c>
      <c r="BA12" s="18" t="s">
        <v>10</v>
      </c>
      <c r="BB12" s="18" t="s">
        <v>10</v>
      </c>
      <c r="BC12" s="18" t="s">
        <v>17</v>
      </c>
      <c r="BD12" s="18" t="s">
        <v>17</v>
      </c>
      <c r="BE12" s="18" t="s">
        <v>17</v>
      </c>
      <c r="BF12" s="18" t="s">
        <v>9</v>
      </c>
      <c r="BG12" s="18" t="s">
        <v>9</v>
      </c>
      <c r="BH12" s="18" t="s">
        <v>10</v>
      </c>
      <c r="BI12" s="18" t="s">
        <v>9</v>
      </c>
      <c r="BJ12" s="18" t="s">
        <v>10</v>
      </c>
      <c r="BK12" s="18" t="s">
        <v>10</v>
      </c>
      <c r="BL12" s="18" t="s">
        <v>10</v>
      </c>
      <c r="BM12" s="18" t="s">
        <v>9</v>
      </c>
      <c r="BN12" s="18" t="s">
        <v>9</v>
      </c>
      <c r="BO12" s="18" t="s">
        <v>10</v>
      </c>
      <c r="BP12" s="18" t="s">
        <v>10</v>
      </c>
      <c r="BQ12" s="18" t="s">
        <v>17</v>
      </c>
      <c r="BR12" s="18" t="s">
        <v>10</v>
      </c>
      <c r="BS12" s="18" t="s">
        <v>17</v>
      </c>
      <c r="BT12" s="18" t="s">
        <v>17</v>
      </c>
      <c r="BU12" s="18" t="s">
        <v>17</v>
      </c>
      <c r="BV12" s="18" t="s">
        <v>17</v>
      </c>
      <c r="BW12" s="18" t="s">
        <v>17</v>
      </c>
      <c r="BX12" s="18" t="s">
        <v>17</v>
      </c>
      <c r="BY12" s="18" t="s">
        <v>10</v>
      </c>
      <c r="BZ12" s="18" t="s">
        <v>9</v>
      </c>
      <c r="CA12" s="18" t="s">
        <v>10</v>
      </c>
      <c r="CB12" s="18" t="s">
        <v>10</v>
      </c>
      <c r="CC12" s="18" t="s">
        <v>9</v>
      </c>
      <c r="CD12" s="18" t="s">
        <v>10</v>
      </c>
      <c r="CE12" s="18" t="s">
        <v>17</v>
      </c>
      <c r="CF12" s="18" t="s">
        <v>9</v>
      </c>
      <c r="CG12" s="18" t="s">
        <v>9</v>
      </c>
      <c r="CH12" s="18" t="s">
        <v>9</v>
      </c>
      <c r="CI12" s="18" t="s">
        <v>9</v>
      </c>
      <c r="CJ12" s="18" t="s">
        <v>9</v>
      </c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</row>
    <row r="13" customFormat="false" ht="15.75" hidden="false" customHeight="true" outlineLevel="0" collapsed="false">
      <c r="A13" s="17"/>
      <c r="B13" s="23" t="n">
        <v>25205</v>
      </c>
      <c r="C13" s="24" t="s">
        <v>35</v>
      </c>
      <c r="D13" s="17" t="n">
        <f aca="false">COUNTIF($G13:$CZ13,D$9)</f>
        <v>63</v>
      </c>
      <c r="E13" s="17" t="n">
        <f aca="false">COUNTIF($G13:$CZ13,E$9)</f>
        <v>3</v>
      </c>
      <c r="F13" s="17" t="n">
        <f aca="false">COUNTIF($G13:$CZ13,F$9)</f>
        <v>0</v>
      </c>
      <c r="G13" s="18"/>
      <c r="H13" s="18" t="s">
        <v>9</v>
      </c>
      <c r="I13" s="18" t="s">
        <v>9</v>
      </c>
      <c r="J13" s="18" t="s">
        <v>9</v>
      </c>
      <c r="K13" s="18" t="s">
        <v>9</v>
      </c>
      <c r="L13" s="18"/>
      <c r="M13" s="18" t="s">
        <v>9</v>
      </c>
      <c r="N13" s="18" t="s">
        <v>9</v>
      </c>
      <c r="O13" s="18" t="s">
        <v>9</v>
      </c>
      <c r="P13" s="18" t="s">
        <v>9</v>
      </c>
      <c r="Q13" s="18" t="s">
        <v>9</v>
      </c>
      <c r="R13" s="18" t="s">
        <v>9</v>
      </c>
      <c r="S13" s="18" t="s">
        <v>9</v>
      </c>
      <c r="T13" s="18" t="s">
        <v>9</v>
      </c>
      <c r="U13" s="18" t="s">
        <v>9</v>
      </c>
      <c r="V13" s="18" t="s">
        <v>9</v>
      </c>
      <c r="W13" s="18" t="s">
        <v>9</v>
      </c>
      <c r="X13" s="18" t="s">
        <v>9</v>
      </c>
      <c r="Y13" s="18" t="s">
        <v>9</v>
      </c>
      <c r="Z13" s="18" t="s">
        <v>9</v>
      </c>
      <c r="AA13" s="18" t="s">
        <v>9</v>
      </c>
      <c r="AB13" s="18" t="s">
        <v>9</v>
      </c>
      <c r="AC13" s="18" t="s">
        <v>9</v>
      </c>
      <c r="AD13" s="18" t="s">
        <v>9</v>
      </c>
      <c r="AE13" s="18" t="s">
        <v>9</v>
      </c>
      <c r="AF13" s="18" t="s">
        <v>17</v>
      </c>
      <c r="AG13" s="18" t="s">
        <v>9</v>
      </c>
      <c r="AH13" s="18" t="s">
        <v>9</v>
      </c>
      <c r="AI13" s="18" t="s">
        <v>10</v>
      </c>
      <c r="AJ13" s="18" t="s">
        <v>17</v>
      </c>
      <c r="AK13" s="18" t="s">
        <v>9</v>
      </c>
      <c r="AL13" s="18" t="s">
        <v>9</v>
      </c>
      <c r="AM13" s="18" t="s">
        <v>9</v>
      </c>
      <c r="AN13" s="18" t="s">
        <v>9</v>
      </c>
      <c r="AO13" s="18" t="s">
        <v>17</v>
      </c>
      <c r="AP13" s="18" t="s">
        <v>9</v>
      </c>
      <c r="AQ13" s="18" t="s">
        <v>9</v>
      </c>
      <c r="AR13" s="18" t="s">
        <v>9</v>
      </c>
      <c r="AS13" s="18" t="s">
        <v>9</v>
      </c>
      <c r="AT13" s="18" t="s">
        <v>9</v>
      </c>
      <c r="AU13" s="18" t="s">
        <v>9</v>
      </c>
      <c r="AV13" s="18" t="s">
        <v>9</v>
      </c>
      <c r="AW13" s="18" t="s">
        <v>9</v>
      </c>
      <c r="AX13" s="18" t="s">
        <v>9</v>
      </c>
      <c r="AY13" s="18" t="s">
        <v>9</v>
      </c>
      <c r="AZ13" s="18" t="s">
        <v>9</v>
      </c>
      <c r="BA13" s="18" t="s">
        <v>9</v>
      </c>
      <c r="BB13" s="18" t="s">
        <v>10</v>
      </c>
      <c r="BC13" s="18" t="s">
        <v>17</v>
      </c>
      <c r="BD13" s="18" t="s">
        <v>17</v>
      </c>
      <c r="BE13" s="18" t="s">
        <v>17</v>
      </c>
      <c r="BF13" s="18" t="s">
        <v>9</v>
      </c>
      <c r="BG13" s="18" t="s">
        <v>9</v>
      </c>
      <c r="BH13" s="18" t="s">
        <v>9</v>
      </c>
      <c r="BI13" s="18" t="s">
        <v>9</v>
      </c>
      <c r="BJ13" s="18" t="s">
        <v>9</v>
      </c>
      <c r="BK13" s="18" t="s">
        <v>9</v>
      </c>
      <c r="BL13" s="18" t="s">
        <v>9</v>
      </c>
      <c r="BM13" s="18" t="s">
        <v>9</v>
      </c>
      <c r="BN13" s="18" t="s">
        <v>9</v>
      </c>
      <c r="BO13" s="18" t="s">
        <v>9</v>
      </c>
      <c r="BP13" s="18" t="s">
        <v>9</v>
      </c>
      <c r="BQ13" s="18" t="s">
        <v>17</v>
      </c>
      <c r="BR13" s="18" t="s">
        <v>9</v>
      </c>
      <c r="BS13" s="18" t="s">
        <v>17</v>
      </c>
      <c r="BT13" s="18" t="s">
        <v>17</v>
      </c>
      <c r="BU13" s="18" t="s">
        <v>17</v>
      </c>
      <c r="BV13" s="18" t="s">
        <v>17</v>
      </c>
      <c r="BW13" s="18" t="s">
        <v>17</v>
      </c>
      <c r="BX13" s="18" t="s">
        <v>17</v>
      </c>
      <c r="BY13" s="18" t="s">
        <v>10</v>
      </c>
      <c r="BZ13" s="18" t="s">
        <v>9</v>
      </c>
      <c r="CA13" s="18" t="s">
        <v>9</v>
      </c>
      <c r="CB13" s="18" t="s">
        <v>9</v>
      </c>
      <c r="CC13" s="18" t="s">
        <v>9</v>
      </c>
      <c r="CD13" s="18" t="s">
        <v>9</v>
      </c>
      <c r="CE13" s="18" t="s">
        <v>17</v>
      </c>
      <c r="CF13" s="18" t="s">
        <v>9</v>
      </c>
      <c r="CG13" s="18" t="s">
        <v>9</v>
      </c>
      <c r="CH13" s="18" t="s">
        <v>9</v>
      </c>
      <c r="CI13" s="18" t="s">
        <v>9</v>
      </c>
      <c r="CJ13" s="18" t="s">
        <v>9</v>
      </c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</row>
    <row r="14" customFormat="false" ht="15.75" hidden="false" customHeight="true" outlineLevel="0" collapsed="false">
      <c r="A14" s="17"/>
      <c r="B14" s="21" t="n">
        <v>25206</v>
      </c>
      <c r="C14" s="22" t="s">
        <v>36</v>
      </c>
      <c r="D14" s="17" t="n">
        <f aca="false">COUNTIF($G14:$CZ14,D$9)</f>
        <v>65</v>
      </c>
      <c r="E14" s="17" t="n">
        <f aca="false">COUNTIF($G14:$CZ14,E$9)</f>
        <v>1</v>
      </c>
      <c r="F14" s="17" t="n">
        <f aca="false">COUNTIF($G14:$CZ14,F$9)</f>
        <v>0</v>
      </c>
      <c r="G14" s="18"/>
      <c r="H14" s="18" t="s">
        <v>9</v>
      </c>
      <c r="I14" s="18" t="s">
        <v>9</v>
      </c>
      <c r="J14" s="18" t="s">
        <v>9</v>
      </c>
      <c r="K14" s="18" t="s">
        <v>9</v>
      </c>
      <c r="L14" s="18"/>
      <c r="M14" s="18" t="s">
        <v>9</v>
      </c>
      <c r="N14" s="18" t="s">
        <v>9</v>
      </c>
      <c r="O14" s="18" t="s">
        <v>9</v>
      </c>
      <c r="P14" s="18" t="s">
        <v>9</v>
      </c>
      <c r="Q14" s="18" t="s">
        <v>9</v>
      </c>
      <c r="R14" s="18" t="s">
        <v>9</v>
      </c>
      <c r="S14" s="18" t="s">
        <v>9</v>
      </c>
      <c r="T14" s="18" t="s">
        <v>9</v>
      </c>
      <c r="U14" s="18" t="s">
        <v>9</v>
      </c>
      <c r="V14" s="18" t="s">
        <v>9</v>
      </c>
      <c r="W14" s="18" t="s">
        <v>9</v>
      </c>
      <c r="X14" s="18" t="s">
        <v>9</v>
      </c>
      <c r="Y14" s="18" t="s">
        <v>9</v>
      </c>
      <c r="Z14" s="18" t="s">
        <v>9</v>
      </c>
      <c r="AA14" s="18" t="s">
        <v>9</v>
      </c>
      <c r="AB14" s="18" t="s">
        <v>9</v>
      </c>
      <c r="AC14" s="18" t="s">
        <v>9</v>
      </c>
      <c r="AD14" s="18" t="s">
        <v>9</v>
      </c>
      <c r="AE14" s="18" t="s">
        <v>9</v>
      </c>
      <c r="AF14" s="18" t="s">
        <v>17</v>
      </c>
      <c r="AG14" s="18" t="s">
        <v>9</v>
      </c>
      <c r="AH14" s="18" t="s">
        <v>9</v>
      </c>
      <c r="AI14" s="18" t="s">
        <v>9</v>
      </c>
      <c r="AJ14" s="18" t="s">
        <v>17</v>
      </c>
      <c r="AK14" s="18" t="s">
        <v>9</v>
      </c>
      <c r="AL14" s="18" t="s">
        <v>9</v>
      </c>
      <c r="AM14" s="18" t="s">
        <v>9</v>
      </c>
      <c r="AN14" s="18" t="s">
        <v>9</v>
      </c>
      <c r="AO14" s="18" t="s">
        <v>17</v>
      </c>
      <c r="AP14" s="18" t="s">
        <v>9</v>
      </c>
      <c r="AQ14" s="18" t="s">
        <v>9</v>
      </c>
      <c r="AR14" s="18" t="s">
        <v>9</v>
      </c>
      <c r="AS14" s="18" t="s">
        <v>9</v>
      </c>
      <c r="AT14" s="18" t="s">
        <v>9</v>
      </c>
      <c r="AU14" s="18" t="s">
        <v>9</v>
      </c>
      <c r="AV14" s="18" t="s">
        <v>9</v>
      </c>
      <c r="AW14" s="18" t="s">
        <v>9</v>
      </c>
      <c r="AX14" s="18" t="s">
        <v>9</v>
      </c>
      <c r="AY14" s="18" t="s">
        <v>9</v>
      </c>
      <c r="AZ14" s="18" t="s">
        <v>9</v>
      </c>
      <c r="BA14" s="18" t="s">
        <v>9</v>
      </c>
      <c r="BB14" s="18" t="s">
        <v>10</v>
      </c>
      <c r="BC14" s="18" t="s">
        <v>17</v>
      </c>
      <c r="BD14" s="18" t="s">
        <v>17</v>
      </c>
      <c r="BE14" s="18" t="s">
        <v>17</v>
      </c>
      <c r="BF14" s="18" t="s">
        <v>9</v>
      </c>
      <c r="BG14" s="18" t="s">
        <v>9</v>
      </c>
      <c r="BH14" s="18" t="s">
        <v>9</v>
      </c>
      <c r="BI14" s="18" t="s">
        <v>9</v>
      </c>
      <c r="BJ14" s="18" t="s">
        <v>9</v>
      </c>
      <c r="BK14" s="18" t="s">
        <v>9</v>
      </c>
      <c r="BL14" s="18" t="s">
        <v>9</v>
      </c>
      <c r="BM14" s="18" t="s">
        <v>9</v>
      </c>
      <c r="BN14" s="18" t="s">
        <v>9</v>
      </c>
      <c r="BO14" s="18" t="s">
        <v>9</v>
      </c>
      <c r="BP14" s="18" t="s">
        <v>9</v>
      </c>
      <c r="BQ14" s="18" t="s">
        <v>17</v>
      </c>
      <c r="BR14" s="18" t="s">
        <v>9</v>
      </c>
      <c r="BS14" s="18" t="s">
        <v>17</v>
      </c>
      <c r="BT14" s="18" t="s">
        <v>17</v>
      </c>
      <c r="BU14" s="18" t="s">
        <v>17</v>
      </c>
      <c r="BV14" s="18" t="s">
        <v>17</v>
      </c>
      <c r="BW14" s="18" t="s">
        <v>17</v>
      </c>
      <c r="BX14" s="18" t="s">
        <v>17</v>
      </c>
      <c r="BY14" s="18" t="s">
        <v>9</v>
      </c>
      <c r="BZ14" s="18" t="s">
        <v>9</v>
      </c>
      <c r="CA14" s="18" t="s">
        <v>9</v>
      </c>
      <c r="CB14" s="18" t="s">
        <v>9</v>
      </c>
      <c r="CC14" s="18" t="s">
        <v>9</v>
      </c>
      <c r="CD14" s="18" t="s">
        <v>9</v>
      </c>
      <c r="CE14" s="18" t="s">
        <v>17</v>
      </c>
      <c r="CF14" s="18" t="s">
        <v>9</v>
      </c>
      <c r="CG14" s="18" t="s">
        <v>9</v>
      </c>
      <c r="CH14" s="18" t="s">
        <v>9</v>
      </c>
      <c r="CI14" s="18" t="s">
        <v>9</v>
      </c>
      <c r="CJ14" s="18" t="s">
        <v>9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</row>
    <row r="15" customFormat="false" ht="15.75" hidden="false" customHeight="true" outlineLevel="0" collapsed="false">
      <c r="A15" s="17"/>
      <c r="B15" s="23" t="n">
        <v>25207</v>
      </c>
      <c r="C15" s="24" t="s">
        <v>37</v>
      </c>
      <c r="D15" s="17" t="n">
        <f aca="false">COUNTIF($G15:$CZ15,D$9)</f>
        <v>37</v>
      </c>
      <c r="E15" s="17" t="n">
        <f aca="false">COUNTIF($G15:$CZ15,E$9)</f>
        <v>25</v>
      </c>
      <c r="F15" s="17" t="n">
        <f aca="false">COUNTIF($G15:$CZ15,F$9)</f>
        <v>4</v>
      </c>
      <c r="G15" s="18"/>
      <c r="H15" s="18" t="s">
        <v>9</v>
      </c>
      <c r="I15" s="18" t="s">
        <v>9</v>
      </c>
      <c r="J15" s="18" t="s">
        <v>9</v>
      </c>
      <c r="K15" s="18" t="s">
        <v>9</v>
      </c>
      <c r="L15" s="18"/>
      <c r="M15" s="18" t="s">
        <v>9</v>
      </c>
      <c r="N15" s="18" t="s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11</v>
      </c>
      <c r="U15" s="18" t="s">
        <v>9</v>
      </c>
      <c r="V15" s="18" t="s">
        <v>9</v>
      </c>
      <c r="W15" s="18" t="s">
        <v>9</v>
      </c>
      <c r="X15" s="18" t="s">
        <v>9</v>
      </c>
      <c r="Y15" s="18" t="s">
        <v>9</v>
      </c>
      <c r="Z15" s="18" t="s">
        <v>9</v>
      </c>
      <c r="AA15" s="18" t="s">
        <v>9</v>
      </c>
      <c r="AB15" s="18" t="s">
        <v>9</v>
      </c>
      <c r="AC15" s="18" t="s">
        <v>9</v>
      </c>
      <c r="AD15" s="18" t="s">
        <v>10</v>
      </c>
      <c r="AE15" s="18" t="s">
        <v>9</v>
      </c>
      <c r="AF15" s="18" t="s">
        <v>17</v>
      </c>
      <c r="AG15" s="18" t="s">
        <v>10</v>
      </c>
      <c r="AH15" s="18" t="s">
        <v>11</v>
      </c>
      <c r="AI15" s="18" t="s">
        <v>10</v>
      </c>
      <c r="AJ15" s="18" t="s">
        <v>17</v>
      </c>
      <c r="AK15" s="18" t="s">
        <v>9</v>
      </c>
      <c r="AL15" s="18" t="s">
        <v>10</v>
      </c>
      <c r="AM15" s="18" t="s">
        <v>9</v>
      </c>
      <c r="AN15" s="18" t="s">
        <v>10</v>
      </c>
      <c r="AO15" s="18" t="s">
        <v>17</v>
      </c>
      <c r="AP15" s="18" t="s">
        <v>9</v>
      </c>
      <c r="AQ15" s="18" t="s">
        <v>9</v>
      </c>
      <c r="AR15" s="18" t="s">
        <v>10</v>
      </c>
      <c r="AS15" s="18" t="s">
        <v>9</v>
      </c>
      <c r="AT15" s="18" t="s">
        <v>9</v>
      </c>
      <c r="AU15" s="18" t="s">
        <v>9</v>
      </c>
      <c r="AV15" s="18" t="s">
        <v>9</v>
      </c>
      <c r="AW15" s="18" t="s">
        <v>9</v>
      </c>
      <c r="AX15" s="18" t="s">
        <v>9</v>
      </c>
      <c r="AY15" s="18" t="s">
        <v>9</v>
      </c>
      <c r="AZ15" s="18" t="s">
        <v>10</v>
      </c>
      <c r="BA15" s="18" t="s">
        <v>10</v>
      </c>
      <c r="BB15" s="18" t="s">
        <v>10</v>
      </c>
      <c r="BC15" s="18" t="s">
        <v>17</v>
      </c>
      <c r="BD15" s="18" t="s">
        <v>17</v>
      </c>
      <c r="BE15" s="18" t="s">
        <v>17</v>
      </c>
      <c r="BF15" s="18" t="s">
        <v>11</v>
      </c>
      <c r="BG15" s="18" t="s">
        <v>11</v>
      </c>
      <c r="BH15" s="18" t="s">
        <v>9</v>
      </c>
      <c r="BI15" s="18" t="s">
        <v>10</v>
      </c>
      <c r="BJ15" s="18" t="s">
        <v>9</v>
      </c>
      <c r="BK15" s="18" t="s">
        <v>10</v>
      </c>
      <c r="BL15" s="18" t="s">
        <v>9</v>
      </c>
      <c r="BM15" s="18" t="s">
        <v>10</v>
      </c>
      <c r="BN15" s="18" t="s">
        <v>9</v>
      </c>
      <c r="BO15" s="18" t="s">
        <v>9</v>
      </c>
      <c r="BP15" s="18" t="s">
        <v>10</v>
      </c>
      <c r="BQ15" s="18" t="s">
        <v>17</v>
      </c>
      <c r="BR15" s="18" t="s">
        <v>10</v>
      </c>
      <c r="BS15" s="18" t="s">
        <v>17</v>
      </c>
      <c r="BT15" s="18" t="s">
        <v>17</v>
      </c>
      <c r="BU15" s="18" t="s">
        <v>17</v>
      </c>
      <c r="BV15" s="18" t="s">
        <v>17</v>
      </c>
      <c r="BW15" s="18" t="s">
        <v>17</v>
      </c>
      <c r="BX15" s="18" t="s">
        <v>17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17</v>
      </c>
      <c r="CF15" s="18" t="s">
        <v>10</v>
      </c>
      <c r="CG15" s="18" t="s">
        <v>10</v>
      </c>
      <c r="CH15" s="18" t="s">
        <v>10</v>
      </c>
      <c r="CI15" s="18" t="s">
        <v>10</v>
      </c>
      <c r="CJ15" s="18" t="s">
        <v>10</v>
      </c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</row>
    <row r="16" customFormat="false" ht="15.75" hidden="false" customHeight="true" outlineLevel="0" collapsed="false">
      <c r="A16" s="17"/>
      <c r="B16" s="21" t="n">
        <v>25208</v>
      </c>
      <c r="C16" s="22" t="s">
        <v>38</v>
      </c>
      <c r="D16" s="17" t="n">
        <f aca="false">COUNTIF($G16:$CZ16,D$9)</f>
        <v>54</v>
      </c>
      <c r="E16" s="17" t="n">
        <f aca="false">COUNTIF($G16:$CZ16,E$9)</f>
        <v>9</v>
      </c>
      <c r="F16" s="17" t="n">
        <f aca="false">COUNTIF($G16:$CZ16,F$9)</f>
        <v>3</v>
      </c>
      <c r="G16" s="18"/>
      <c r="H16" s="18" t="s">
        <v>9</v>
      </c>
      <c r="I16" s="18" t="s">
        <v>9</v>
      </c>
      <c r="J16" s="18" t="s">
        <v>9</v>
      </c>
      <c r="K16" s="18" t="s">
        <v>9</v>
      </c>
      <c r="L16" s="18"/>
      <c r="M16" s="18" t="s">
        <v>9</v>
      </c>
      <c r="N16" s="18" t="s">
        <v>9</v>
      </c>
      <c r="O16" s="18" t="s">
        <v>9</v>
      </c>
      <c r="P16" s="18" t="s">
        <v>9</v>
      </c>
      <c r="Q16" s="18" t="s">
        <v>9</v>
      </c>
      <c r="R16" s="18" t="s">
        <v>9</v>
      </c>
      <c r="S16" s="18" t="s">
        <v>9</v>
      </c>
      <c r="T16" s="18" t="s">
        <v>9</v>
      </c>
      <c r="U16" s="18" t="s">
        <v>9</v>
      </c>
      <c r="V16" s="18" t="s">
        <v>9</v>
      </c>
      <c r="W16" s="18" t="s">
        <v>9</v>
      </c>
      <c r="X16" s="18" t="s">
        <v>9</v>
      </c>
      <c r="Y16" s="18" t="s">
        <v>9</v>
      </c>
      <c r="Z16" s="18" t="s">
        <v>9</v>
      </c>
      <c r="AA16" s="18" t="s">
        <v>9</v>
      </c>
      <c r="AB16" s="18" t="s">
        <v>9</v>
      </c>
      <c r="AC16" s="18" t="s">
        <v>9</v>
      </c>
      <c r="AD16" s="18" t="s">
        <v>10</v>
      </c>
      <c r="AE16" s="18" t="s">
        <v>9</v>
      </c>
      <c r="AF16" s="18" t="s">
        <v>17</v>
      </c>
      <c r="AG16" s="18" t="s">
        <v>9</v>
      </c>
      <c r="AH16" s="18" t="s">
        <v>9</v>
      </c>
      <c r="AI16" s="18" t="s">
        <v>9</v>
      </c>
      <c r="AJ16" s="18" t="s">
        <v>17</v>
      </c>
      <c r="AK16" s="18" t="s">
        <v>10</v>
      </c>
      <c r="AL16" s="18" t="s">
        <v>9</v>
      </c>
      <c r="AM16" s="18" t="s">
        <v>9</v>
      </c>
      <c r="AN16" s="18" t="s">
        <v>9</v>
      </c>
      <c r="AO16" s="18" t="s">
        <v>17</v>
      </c>
      <c r="AP16" s="18" t="s">
        <v>9</v>
      </c>
      <c r="AQ16" s="18" t="s">
        <v>9</v>
      </c>
      <c r="AR16" s="18" t="s">
        <v>9</v>
      </c>
      <c r="AS16" s="18" t="s">
        <v>9</v>
      </c>
      <c r="AT16" s="18" t="s">
        <v>9</v>
      </c>
      <c r="AU16" s="18" t="s">
        <v>9</v>
      </c>
      <c r="AV16" s="18" t="s">
        <v>10</v>
      </c>
      <c r="AW16" s="18" t="s">
        <v>9</v>
      </c>
      <c r="AX16" s="18" t="s">
        <v>10</v>
      </c>
      <c r="AY16" s="18" t="s">
        <v>10</v>
      </c>
      <c r="AZ16" s="18" t="s">
        <v>9</v>
      </c>
      <c r="BA16" s="18" t="s">
        <v>9</v>
      </c>
      <c r="BB16" s="18" t="s">
        <v>10</v>
      </c>
      <c r="BC16" s="18" t="s">
        <v>17</v>
      </c>
      <c r="BD16" s="18" t="s">
        <v>17</v>
      </c>
      <c r="BE16" s="18" t="s">
        <v>17</v>
      </c>
      <c r="BF16" s="18" t="s">
        <v>9</v>
      </c>
      <c r="BG16" s="18" t="s">
        <v>11</v>
      </c>
      <c r="BH16" s="18" t="s">
        <v>9</v>
      </c>
      <c r="BI16" s="18" t="s">
        <v>9</v>
      </c>
      <c r="BJ16" s="18" t="s">
        <v>9</v>
      </c>
      <c r="BK16" s="18" t="s">
        <v>9</v>
      </c>
      <c r="BL16" s="18" t="s">
        <v>9</v>
      </c>
      <c r="BM16" s="18" t="s">
        <v>9</v>
      </c>
      <c r="BN16" s="18" t="s">
        <v>11</v>
      </c>
      <c r="BO16" s="18" t="s">
        <v>9</v>
      </c>
      <c r="BP16" s="18" t="s">
        <v>9</v>
      </c>
      <c r="BQ16" s="18" t="s">
        <v>17</v>
      </c>
      <c r="BR16" s="18" t="s">
        <v>10</v>
      </c>
      <c r="BS16" s="18" t="s">
        <v>17</v>
      </c>
      <c r="BT16" s="18" t="s">
        <v>17</v>
      </c>
      <c r="BU16" s="18" t="s">
        <v>17</v>
      </c>
      <c r="BV16" s="18" t="s">
        <v>17</v>
      </c>
      <c r="BW16" s="18" t="s">
        <v>17</v>
      </c>
      <c r="BX16" s="18" t="s">
        <v>17</v>
      </c>
      <c r="BY16" s="18" t="s">
        <v>9</v>
      </c>
      <c r="BZ16" s="18" t="s">
        <v>10</v>
      </c>
      <c r="CA16" s="18" t="s">
        <v>9</v>
      </c>
      <c r="CB16" s="18" t="s">
        <v>9</v>
      </c>
      <c r="CC16" s="18" t="s">
        <v>9</v>
      </c>
      <c r="CD16" s="18" t="s">
        <v>9</v>
      </c>
      <c r="CE16" s="18" t="s">
        <v>17</v>
      </c>
      <c r="CF16" s="18" t="s">
        <v>11</v>
      </c>
      <c r="CG16" s="18" t="s">
        <v>9</v>
      </c>
      <c r="CH16" s="18" t="s">
        <v>9</v>
      </c>
      <c r="CI16" s="18" t="s">
        <v>9</v>
      </c>
      <c r="CJ16" s="18" t="s">
        <v>10</v>
      </c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</row>
    <row r="17" customFormat="false" ht="15.75" hidden="false" customHeight="true" outlineLevel="0" collapsed="false">
      <c r="A17" s="17"/>
      <c r="B17" s="23" t="n">
        <v>25209</v>
      </c>
      <c r="C17" s="24" t="s">
        <v>39</v>
      </c>
      <c r="D17" s="17" t="n">
        <f aca="false">COUNTIF($G17:$CZ17,D$9)</f>
        <v>35</v>
      </c>
      <c r="E17" s="17" t="n">
        <f aca="false">COUNTIF($G17:$CZ17,E$9)</f>
        <v>30</v>
      </c>
      <c r="F17" s="17" t="n">
        <f aca="false">COUNTIF($G17:$CZ17,F$9)</f>
        <v>1</v>
      </c>
      <c r="G17" s="18"/>
      <c r="H17" s="18" t="s">
        <v>9</v>
      </c>
      <c r="I17" s="18" t="s">
        <v>9</v>
      </c>
      <c r="J17" s="18" t="s">
        <v>9</v>
      </c>
      <c r="K17" s="18" t="s">
        <v>9</v>
      </c>
      <c r="L17" s="18"/>
      <c r="M17" s="18" t="s">
        <v>9</v>
      </c>
      <c r="N17" s="18" t="s">
        <v>9</v>
      </c>
      <c r="O17" s="18" t="s">
        <v>9</v>
      </c>
      <c r="P17" s="18" t="s">
        <v>9</v>
      </c>
      <c r="Q17" s="18" t="s">
        <v>9</v>
      </c>
      <c r="R17" s="18" t="s">
        <v>9</v>
      </c>
      <c r="S17" s="18" t="s">
        <v>9</v>
      </c>
      <c r="T17" s="18" t="s">
        <v>11</v>
      </c>
      <c r="U17" s="18" t="s">
        <v>9</v>
      </c>
      <c r="V17" s="18" t="s">
        <v>10</v>
      </c>
      <c r="W17" s="18" t="s">
        <v>9</v>
      </c>
      <c r="X17" s="18" t="s">
        <v>9</v>
      </c>
      <c r="Y17" s="18" t="s">
        <v>9</v>
      </c>
      <c r="Z17" s="18" t="s">
        <v>9</v>
      </c>
      <c r="AA17" s="18" t="s">
        <v>9</v>
      </c>
      <c r="AB17" s="18" t="s">
        <v>9</v>
      </c>
      <c r="AC17" s="18" t="s">
        <v>9</v>
      </c>
      <c r="AD17" s="18" t="s">
        <v>9</v>
      </c>
      <c r="AE17" s="18" t="s">
        <v>10</v>
      </c>
      <c r="AF17" s="18" t="s">
        <v>17</v>
      </c>
      <c r="AG17" s="18" t="s">
        <v>10</v>
      </c>
      <c r="AH17" s="18" t="s">
        <v>10</v>
      </c>
      <c r="AI17" s="18" t="s">
        <v>9</v>
      </c>
      <c r="AJ17" s="18" t="s">
        <v>17</v>
      </c>
      <c r="AK17" s="18" t="s">
        <v>10</v>
      </c>
      <c r="AL17" s="18" t="s">
        <v>10</v>
      </c>
      <c r="AM17" s="18" t="s">
        <v>10</v>
      </c>
      <c r="AN17" s="18" t="s">
        <v>10</v>
      </c>
      <c r="AO17" s="18" t="s">
        <v>17</v>
      </c>
      <c r="AP17" s="18" t="s">
        <v>10</v>
      </c>
      <c r="AQ17" s="18" t="s">
        <v>9</v>
      </c>
      <c r="AR17" s="18" t="s">
        <v>9</v>
      </c>
      <c r="AS17" s="18" t="s">
        <v>9</v>
      </c>
      <c r="AT17" s="18" t="s">
        <v>9</v>
      </c>
      <c r="AU17" s="18" t="s">
        <v>9</v>
      </c>
      <c r="AV17" s="18" t="s">
        <v>10</v>
      </c>
      <c r="AW17" s="18" t="s">
        <v>9</v>
      </c>
      <c r="AX17" s="18" t="s">
        <v>9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17</v>
      </c>
      <c r="BD17" s="18" t="s">
        <v>17</v>
      </c>
      <c r="BE17" s="18" t="s">
        <v>17</v>
      </c>
      <c r="BF17" s="18" t="s">
        <v>10</v>
      </c>
      <c r="BG17" s="18" t="s">
        <v>10</v>
      </c>
      <c r="BH17" s="18" t="s">
        <v>9</v>
      </c>
      <c r="BI17" s="18" t="s">
        <v>9</v>
      </c>
      <c r="BJ17" s="18" t="s">
        <v>9</v>
      </c>
      <c r="BK17" s="18" t="s">
        <v>10</v>
      </c>
      <c r="BL17" s="18" t="s">
        <v>9</v>
      </c>
      <c r="BM17" s="18" t="s">
        <v>9</v>
      </c>
      <c r="BN17" s="18" t="s">
        <v>10</v>
      </c>
      <c r="BO17" s="18" t="s">
        <v>9</v>
      </c>
      <c r="BP17" s="18" t="s">
        <v>9</v>
      </c>
      <c r="BQ17" s="18" t="s">
        <v>17</v>
      </c>
      <c r="BR17" s="18" t="s">
        <v>10</v>
      </c>
      <c r="BS17" s="18" t="s">
        <v>17</v>
      </c>
      <c r="BT17" s="18" t="s">
        <v>17</v>
      </c>
      <c r="BU17" s="18" t="s">
        <v>17</v>
      </c>
      <c r="BV17" s="18" t="s">
        <v>17</v>
      </c>
      <c r="BW17" s="18" t="s">
        <v>17</v>
      </c>
      <c r="BX17" s="18" t="s">
        <v>17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17</v>
      </c>
      <c r="CF17" s="18" t="s">
        <v>10</v>
      </c>
      <c r="CG17" s="18" t="s">
        <v>10</v>
      </c>
      <c r="CH17" s="18" t="s">
        <v>10</v>
      </c>
      <c r="CI17" s="18" t="s">
        <v>10</v>
      </c>
      <c r="CJ17" s="18" t="s">
        <v>10</v>
      </c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</row>
    <row r="18" customFormat="false" ht="15.75" hidden="false" customHeight="true" outlineLevel="0" collapsed="false">
      <c r="A18" s="17"/>
      <c r="B18" s="21" t="n">
        <v>25210</v>
      </c>
      <c r="C18" s="22" t="s">
        <v>40</v>
      </c>
      <c r="D18" s="17" t="n">
        <f aca="false">COUNTIF($G18:$CZ18,D$9)</f>
        <v>47</v>
      </c>
      <c r="E18" s="17" t="n">
        <f aca="false">COUNTIF($G18:$CZ18,E$9)</f>
        <v>17</v>
      </c>
      <c r="F18" s="17" t="n">
        <f aca="false">COUNTIF($G18:$CZ18,F$9)</f>
        <v>2</v>
      </c>
      <c r="G18" s="18"/>
      <c r="H18" s="18" t="s">
        <v>9</v>
      </c>
      <c r="I18" s="18" t="s">
        <v>9</v>
      </c>
      <c r="J18" s="18" t="s">
        <v>9</v>
      </c>
      <c r="K18" s="18" t="s">
        <v>9</v>
      </c>
      <c r="L18" s="18"/>
      <c r="M18" s="18" t="s">
        <v>9</v>
      </c>
      <c r="N18" s="18" t="s">
        <v>9</v>
      </c>
      <c r="O18" s="18" t="s">
        <v>9</v>
      </c>
      <c r="P18" s="18" t="s">
        <v>9</v>
      </c>
      <c r="Q18" s="18" t="s">
        <v>9</v>
      </c>
      <c r="R18" s="18" t="s">
        <v>9</v>
      </c>
      <c r="S18" s="18" t="s">
        <v>9</v>
      </c>
      <c r="T18" s="18" t="s">
        <v>9</v>
      </c>
      <c r="U18" s="18" t="s">
        <v>9</v>
      </c>
      <c r="V18" s="18" t="s">
        <v>9</v>
      </c>
      <c r="W18" s="18" t="s">
        <v>9</v>
      </c>
      <c r="X18" s="18" t="s">
        <v>9</v>
      </c>
      <c r="Y18" s="18" t="s">
        <v>9</v>
      </c>
      <c r="Z18" s="18" t="s">
        <v>9</v>
      </c>
      <c r="AA18" s="18" t="s">
        <v>9</v>
      </c>
      <c r="AB18" s="18" t="s">
        <v>9</v>
      </c>
      <c r="AC18" s="18" t="s">
        <v>9</v>
      </c>
      <c r="AD18" s="18" t="s">
        <v>9</v>
      </c>
      <c r="AE18" s="18" t="s">
        <v>9</v>
      </c>
      <c r="AF18" s="18" t="s">
        <v>17</v>
      </c>
      <c r="AG18" s="18" t="s">
        <v>9</v>
      </c>
      <c r="AH18" s="18" t="s">
        <v>9</v>
      </c>
      <c r="AI18" s="18" t="s">
        <v>9</v>
      </c>
      <c r="AJ18" s="18" t="s">
        <v>17</v>
      </c>
      <c r="AK18" s="18" t="s">
        <v>9</v>
      </c>
      <c r="AL18" s="18" t="s">
        <v>9</v>
      </c>
      <c r="AM18" s="18" t="s">
        <v>9</v>
      </c>
      <c r="AN18" s="18" t="s">
        <v>9</v>
      </c>
      <c r="AO18" s="18" t="s">
        <v>17</v>
      </c>
      <c r="AP18" s="18" t="s">
        <v>9</v>
      </c>
      <c r="AQ18" s="18" t="s">
        <v>9</v>
      </c>
      <c r="AR18" s="18" t="s">
        <v>9</v>
      </c>
      <c r="AS18" s="18" t="s">
        <v>9</v>
      </c>
      <c r="AT18" s="18" t="s">
        <v>9</v>
      </c>
      <c r="AU18" s="18" t="s">
        <v>10</v>
      </c>
      <c r="AV18" s="18" t="s">
        <v>9</v>
      </c>
      <c r="AW18" s="18" t="s">
        <v>9</v>
      </c>
      <c r="AX18" s="18" t="s">
        <v>9</v>
      </c>
      <c r="AY18" s="18" t="s">
        <v>9</v>
      </c>
      <c r="AZ18" s="18" t="s">
        <v>9</v>
      </c>
      <c r="BA18" s="18" t="s">
        <v>9</v>
      </c>
      <c r="BB18" s="18" t="s">
        <v>10</v>
      </c>
      <c r="BC18" s="18" t="s">
        <v>17</v>
      </c>
      <c r="BD18" s="18" t="s">
        <v>17</v>
      </c>
      <c r="BE18" s="18" t="s">
        <v>17</v>
      </c>
      <c r="BF18" s="18" t="s">
        <v>9</v>
      </c>
      <c r="BG18" s="18" t="s">
        <v>11</v>
      </c>
      <c r="BH18" s="18" t="s">
        <v>11</v>
      </c>
      <c r="BI18" s="18" t="s">
        <v>9</v>
      </c>
      <c r="BJ18" s="18" t="s">
        <v>9</v>
      </c>
      <c r="BK18" s="18" t="s">
        <v>9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9</v>
      </c>
      <c r="BQ18" s="18" t="s">
        <v>17</v>
      </c>
      <c r="BR18" s="18" t="s">
        <v>10</v>
      </c>
      <c r="BS18" s="18" t="s">
        <v>17</v>
      </c>
      <c r="BT18" s="18" t="s">
        <v>17</v>
      </c>
      <c r="BU18" s="18" t="s">
        <v>17</v>
      </c>
      <c r="BV18" s="18" t="s">
        <v>17</v>
      </c>
      <c r="BW18" s="18" t="s">
        <v>17</v>
      </c>
      <c r="BX18" s="18" t="s">
        <v>17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9</v>
      </c>
      <c r="CD18" s="18" t="s">
        <v>10</v>
      </c>
      <c r="CE18" s="18" t="s">
        <v>17</v>
      </c>
      <c r="CF18" s="18" t="s">
        <v>10</v>
      </c>
      <c r="CG18" s="18" t="s">
        <v>10</v>
      </c>
      <c r="CH18" s="18" t="s">
        <v>10</v>
      </c>
      <c r="CI18" s="18" t="s">
        <v>10</v>
      </c>
      <c r="CJ18" s="18" t="s">
        <v>10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</row>
    <row r="19" customFormat="false" ht="15.75" hidden="false" customHeight="true" outlineLevel="0" collapsed="false">
      <c r="A19" s="17"/>
      <c r="B19" s="23" t="n">
        <v>25211</v>
      </c>
      <c r="C19" s="24" t="s">
        <v>41</v>
      </c>
      <c r="D19" s="17" t="n">
        <f aca="false">COUNTIF($G19:$CZ19,D$9)</f>
        <v>54</v>
      </c>
      <c r="E19" s="17" t="n">
        <f aca="false">COUNTIF($G19:$CZ19,E$9)</f>
        <v>11</v>
      </c>
      <c r="F19" s="17" t="n">
        <f aca="false">COUNTIF($G19:$CZ19,F$9)</f>
        <v>1</v>
      </c>
      <c r="G19" s="18"/>
      <c r="H19" s="18" t="s">
        <v>9</v>
      </c>
      <c r="I19" s="18" t="s">
        <v>9</v>
      </c>
      <c r="J19" s="18" t="s">
        <v>9</v>
      </c>
      <c r="K19" s="18" t="s">
        <v>10</v>
      </c>
      <c r="L19" s="18"/>
      <c r="M19" s="18" t="s">
        <v>9</v>
      </c>
      <c r="N19" s="18" t="s">
        <v>9</v>
      </c>
      <c r="O19" s="18" t="s">
        <v>9</v>
      </c>
      <c r="P19" s="18" t="s">
        <v>9</v>
      </c>
      <c r="Q19" s="18" t="s">
        <v>9</v>
      </c>
      <c r="R19" s="18" t="s">
        <v>9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9</v>
      </c>
      <c r="Z19" s="18" t="s">
        <v>9</v>
      </c>
      <c r="AA19" s="18" t="s">
        <v>9</v>
      </c>
      <c r="AB19" s="18" t="s">
        <v>9</v>
      </c>
      <c r="AC19" s="18" t="s">
        <v>9</v>
      </c>
      <c r="AD19" s="18" t="s">
        <v>9</v>
      </c>
      <c r="AE19" s="18" t="s">
        <v>9</v>
      </c>
      <c r="AF19" s="18" t="s">
        <v>17</v>
      </c>
      <c r="AG19" s="18" t="s">
        <v>9</v>
      </c>
      <c r="AH19" s="18" t="s">
        <v>9</v>
      </c>
      <c r="AI19" s="18" t="s">
        <v>9</v>
      </c>
      <c r="AJ19" s="18" t="s">
        <v>17</v>
      </c>
      <c r="AK19" s="18" t="s">
        <v>9</v>
      </c>
      <c r="AL19" s="18" t="s">
        <v>9</v>
      </c>
      <c r="AM19" s="18" t="s">
        <v>9</v>
      </c>
      <c r="AN19" s="18" t="s">
        <v>9</v>
      </c>
      <c r="AO19" s="18" t="s">
        <v>17</v>
      </c>
      <c r="AP19" s="18" t="s">
        <v>9</v>
      </c>
      <c r="AQ19" s="18" t="s">
        <v>9</v>
      </c>
      <c r="AR19" s="18" t="s">
        <v>9</v>
      </c>
      <c r="AS19" s="18" t="s">
        <v>9</v>
      </c>
      <c r="AT19" s="18" t="s">
        <v>9</v>
      </c>
      <c r="AU19" s="18" t="s">
        <v>9</v>
      </c>
      <c r="AV19" s="18" t="s">
        <v>9</v>
      </c>
      <c r="AW19" s="18" t="s">
        <v>9</v>
      </c>
      <c r="AX19" s="18" t="s">
        <v>9</v>
      </c>
      <c r="AY19" s="18" t="s">
        <v>9</v>
      </c>
      <c r="AZ19" s="18" t="s">
        <v>9</v>
      </c>
      <c r="BA19" s="18" t="s">
        <v>9</v>
      </c>
      <c r="BB19" s="18" t="s">
        <v>10</v>
      </c>
      <c r="BC19" s="18" t="s">
        <v>17</v>
      </c>
      <c r="BD19" s="18" t="s">
        <v>17</v>
      </c>
      <c r="BE19" s="18" t="s">
        <v>17</v>
      </c>
      <c r="BF19" s="18" t="s">
        <v>9</v>
      </c>
      <c r="BG19" s="18" t="s">
        <v>9</v>
      </c>
      <c r="BH19" s="18" t="s">
        <v>10</v>
      </c>
      <c r="BI19" s="18" t="s">
        <v>9</v>
      </c>
      <c r="BJ19" s="18" t="s">
        <v>9</v>
      </c>
      <c r="BK19" s="18" t="s">
        <v>10</v>
      </c>
      <c r="BL19" s="18" t="s">
        <v>9</v>
      </c>
      <c r="BM19" s="18" t="s">
        <v>10</v>
      </c>
      <c r="BN19" s="18" t="s">
        <v>10</v>
      </c>
      <c r="BO19" s="18" t="s">
        <v>10</v>
      </c>
      <c r="BP19" s="18" t="s">
        <v>11</v>
      </c>
      <c r="BQ19" s="18" t="s">
        <v>17</v>
      </c>
      <c r="BR19" s="18" t="s">
        <v>9</v>
      </c>
      <c r="BS19" s="18" t="s">
        <v>17</v>
      </c>
      <c r="BT19" s="18" t="s">
        <v>17</v>
      </c>
      <c r="BU19" s="18" t="s">
        <v>17</v>
      </c>
      <c r="BV19" s="18" t="s">
        <v>17</v>
      </c>
      <c r="BW19" s="18" t="s">
        <v>17</v>
      </c>
      <c r="BX19" s="18" t="s">
        <v>17</v>
      </c>
      <c r="BY19" s="18" t="s">
        <v>10</v>
      </c>
      <c r="BZ19" s="18" t="s">
        <v>10</v>
      </c>
      <c r="CA19" s="18" t="s">
        <v>9</v>
      </c>
      <c r="CB19" s="18" t="s">
        <v>9</v>
      </c>
      <c r="CC19" s="18" t="s">
        <v>9</v>
      </c>
      <c r="CD19" s="18" t="s">
        <v>10</v>
      </c>
      <c r="CE19" s="18" t="s">
        <v>17</v>
      </c>
      <c r="CF19" s="18" t="s">
        <v>9</v>
      </c>
      <c r="CG19" s="18" t="s">
        <v>9</v>
      </c>
      <c r="CH19" s="18" t="s">
        <v>9</v>
      </c>
      <c r="CI19" s="18" t="s">
        <v>10</v>
      </c>
      <c r="CJ19" s="18" t="s">
        <v>9</v>
      </c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</row>
    <row r="20" customFormat="false" ht="15.75" hidden="false" customHeight="true" outlineLevel="0" collapsed="false">
      <c r="A20" s="17"/>
      <c r="B20" s="21" t="n">
        <v>25212</v>
      </c>
      <c r="C20" s="22" t="s">
        <v>42</v>
      </c>
      <c r="D20" s="17" t="n">
        <f aca="false">COUNTIF($G20:$CZ20,D$9)</f>
        <v>60</v>
      </c>
      <c r="E20" s="17" t="n">
        <f aca="false">COUNTIF($G20:$CZ20,E$9)</f>
        <v>5</v>
      </c>
      <c r="F20" s="17" t="n">
        <f aca="false">COUNTIF($G20:$CZ20,F$9)</f>
        <v>1</v>
      </c>
      <c r="G20" s="18"/>
      <c r="H20" s="18" t="s">
        <v>9</v>
      </c>
      <c r="I20" s="18" t="s">
        <v>9</v>
      </c>
      <c r="J20" s="18" t="s">
        <v>9</v>
      </c>
      <c r="K20" s="18" t="s">
        <v>9</v>
      </c>
      <c r="L20" s="18"/>
      <c r="M20" s="18" t="s">
        <v>9</v>
      </c>
      <c r="N20" s="18" t="s">
        <v>9</v>
      </c>
      <c r="O20" s="18" t="s">
        <v>9</v>
      </c>
      <c r="P20" s="18" t="s">
        <v>9</v>
      </c>
      <c r="Q20" s="18" t="s">
        <v>9</v>
      </c>
      <c r="R20" s="18" t="s">
        <v>9</v>
      </c>
      <c r="S20" s="18" t="s">
        <v>9</v>
      </c>
      <c r="T20" s="18" t="s">
        <v>9</v>
      </c>
      <c r="U20" s="18" t="s">
        <v>9</v>
      </c>
      <c r="V20" s="18" t="s">
        <v>9</v>
      </c>
      <c r="W20" s="18" t="s">
        <v>9</v>
      </c>
      <c r="X20" s="18" t="s">
        <v>9</v>
      </c>
      <c r="Y20" s="18" t="s">
        <v>9</v>
      </c>
      <c r="Z20" s="18" t="s">
        <v>9</v>
      </c>
      <c r="AA20" s="18" t="s">
        <v>9</v>
      </c>
      <c r="AB20" s="18" t="s">
        <v>9</v>
      </c>
      <c r="AC20" s="18" t="s">
        <v>9</v>
      </c>
      <c r="AD20" s="18" t="s">
        <v>9</v>
      </c>
      <c r="AE20" s="18" t="s">
        <v>9</v>
      </c>
      <c r="AF20" s="18" t="s">
        <v>17</v>
      </c>
      <c r="AG20" s="18" t="s">
        <v>9</v>
      </c>
      <c r="AH20" s="18" t="s">
        <v>9</v>
      </c>
      <c r="AI20" s="18" t="s">
        <v>9</v>
      </c>
      <c r="AJ20" s="18" t="s">
        <v>17</v>
      </c>
      <c r="AK20" s="18" t="s">
        <v>9</v>
      </c>
      <c r="AL20" s="18" t="s">
        <v>9</v>
      </c>
      <c r="AM20" s="18" t="s">
        <v>9</v>
      </c>
      <c r="AN20" s="18" t="s">
        <v>9</v>
      </c>
      <c r="AO20" s="18" t="s">
        <v>17</v>
      </c>
      <c r="AP20" s="18" t="s">
        <v>9</v>
      </c>
      <c r="AQ20" s="18" t="s">
        <v>9</v>
      </c>
      <c r="AR20" s="18" t="s">
        <v>9</v>
      </c>
      <c r="AS20" s="18" t="s">
        <v>9</v>
      </c>
      <c r="AT20" s="18" t="s">
        <v>9</v>
      </c>
      <c r="AU20" s="18" t="s">
        <v>9</v>
      </c>
      <c r="AV20" s="18" t="s">
        <v>9</v>
      </c>
      <c r="AW20" s="18" t="s">
        <v>9</v>
      </c>
      <c r="AX20" s="18" t="s">
        <v>9</v>
      </c>
      <c r="AY20" s="18" t="s">
        <v>9</v>
      </c>
      <c r="AZ20" s="18" t="s">
        <v>9</v>
      </c>
      <c r="BA20" s="18" t="s">
        <v>9</v>
      </c>
      <c r="BB20" s="18" t="s">
        <v>10</v>
      </c>
      <c r="BC20" s="18" t="s">
        <v>17</v>
      </c>
      <c r="BD20" s="18" t="s">
        <v>17</v>
      </c>
      <c r="BE20" s="18" t="s">
        <v>17</v>
      </c>
      <c r="BF20" s="18" t="s">
        <v>9</v>
      </c>
      <c r="BG20" s="18" t="s">
        <v>9</v>
      </c>
      <c r="BH20" s="18" t="s">
        <v>10</v>
      </c>
      <c r="BI20" s="18" t="s">
        <v>9</v>
      </c>
      <c r="BJ20" s="18" t="s">
        <v>9</v>
      </c>
      <c r="BK20" s="18" t="s">
        <v>9</v>
      </c>
      <c r="BL20" s="18" t="s">
        <v>9</v>
      </c>
      <c r="BM20" s="18" t="s">
        <v>9</v>
      </c>
      <c r="BN20" s="18" t="s">
        <v>10</v>
      </c>
      <c r="BO20" s="18" t="s">
        <v>9</v>
      </c>
      <c r="BP20" s="18" t="s">
        <v>11</v>
      </c>
      <c r="BQ20" s="18" t="s">
        <v>17</v>
      </c>
      <c r="BR20" s="18" t="s">
        <v>9</v>
      </c>
      <c r="BS20" s="18" t="s">
        <v>17</v>
      </c>
      <c r="BT20" s="18" t="s">
        <v>17</v>
      </c>
      <c r="BU20" s="18" t="s">
        <v>17</v>
      </c>
      <c r="BV20" s="18" t="s">
        <v>17</v>
      </c>
      <c r="BW20" s="18" t="s">
        <v>17</v>
      </c>
      <c r="BX20" s="18" t="s">
        <v>17</v>
      </c>
      <c r="BY20" s="18" t="s">
        <v>10</v>
      </c>
      <c r="BZ20" s="18" t="s">
        <v>9</v>
      </c>
      <c r="CA20" s="18" t="s">
        <v>9</v>
      </c>
      <c r="CB20" s="18" t="s">
        <v>9</v>
      </c>
      <c r="CC20" s="18" t="s">
        <v>9</v>
      </c>
      <c r="CD20" s="18" t="s">
        <v>9</v>
      </c>
      <c r="CE20" s="18" t="s">
        <v>17</v>
      </c>
      <c r="CF20" s="18" t="s">
        <v>9</v>
      </c>
      <c r="CG20" s="18" t="s">
        <v>9</v>
      </c>
      <c r="CH20" s="18" t="s">
        <v>9</v>
      </c>
      <c r="CI20" s="18" t="s">
        <v>10</v>
      </c>
      <c r="CJ20" s="18" t="s">
        <v>9</v>
      </c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</row>
    <row r="21" customFormat="false" ht="15.75" hidden="false" customHeight="true" outlineLevel="0" collapsed="false">
      <c r="A21" s="17"/>
      <c r="B21" s="23" t="n">
        <v>25213</v>
      </c>
      <c r="C21" s="24" t="s">
        <v>43</v>
      </c>
      <c r="D21" s="17" t="n">
        <f aca="false">COUNTIF($G21:$CZ21,D$9)</f>
        <v>50</v>
      </c>
      <c r="E21" s="17" t="n">
        <f aca="false">COUNTIF($G21:$CZ21,E$9)</f>
        <v>16</v>
      </c>
      <c r="F21" s="17" t="n">
        <f aca="false">COUNTIF($G21:$CZ21,F$9)</f>
        <v>0</v>
      </c>
      <c r="G21" s="18"/>
      <c r="H21" s="18" t="s">
        <v>9</v>
      </c>
      <c r="I21" s="18" t="s">
        <v>9</v>
      </c>
      <c r="J21" s="18" t="s">
        <v>9</v>
      </c>
      <c r="K21" s="18" t="s">
        <v>10</v>
      </c>
      <c r="L21" s="18"/>
      <c r="M21" s="18" t="s">
        <v>9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9</v>
      </c>
      <c r="S21" s="18" t="s">
        <v>9</v>
      </c>
      <c r="T21" s="18" t="s">
        <v>9</v>
      </c>
      <c r="U21" s="18" t="s">
        <v>10</v>
      </c>
      <c r="V21" s="18" t="s">
        <v>10</v>
      </c>
      <c r="W21" s="18" t="s">
        <v>9</v>
      </c>
      <c r="X21" s="18" t="s">
        <v>9</v>
      </c>
      <c r="Y21" s="18" t="s">
        <v>9</v>
      </c>
      <c r="Z21" s="18" t="s">
        <v>9</v>
      </c>
      <c r="AA21" s="18" t="s">
        <v>9</v>
      </c>
      <c r="AB21" s="18" t="s">
        <v>9</v>
      </c>
      <c r="AC21" s="18" t="s">
        <v>9</v>
      </c>
      <c r="AD21" s="18" t="s">
        <v>9</v>
      </c>
      <c r="AE21" s="18" t="s">
        <v>9</v>
      </c>
      <c r="AF21" s="18" t="s">
        <v>17</v>
      </c>
      <c r="AG21" s="18" t="s">
        <v>10</v>
      </c>
      <c r="AH21" s="18" t="s">
        <v>9</v>
      </c>
      <c r="AI21" s="18" t="s">
        <v>10</v>
      </c>
      <c r="AJ21" s="18" t="s">
        <v>17</v>
      </c>
      <c r="AK21" s="18" t="s">
        <v>9</v>
      </c>
      <c r="AL21" s="18" t="s">
        <v>9</v>
      </c>
      <c r="AM21" s="18" t="s">
        <v>10</v>
      </c>
      <c r="AN21" s="18" t="s">
        <v>9</v>
      </c>
      <c r="AO21" s="18" t="s">
        <v>17</v>
      </c>
      <c r="AP21" s="18" t="s">
        <v>10</v>
      </c>
      <c r="AQ21" s="18" t="s">
        <v>9</v>
      </c>
      <c r="AR21" s="18" t="s">
        <v>9</v>
      </c>
      <c r="AS21" s="18" t="s">
        <v>9</v>
      </c>
      <c r="AT21" s="18" t="s">
        <v>9</v>
      </c>
      <c r="AU21" s="18" t="s">
        <v>9</v>
      </c>
      <c r="AV21" s="18" t="s">
        <v>9</v>
      </c>
      <c r="AW21" s="18" t="s">
        <v>9</v>
      </c>
      <c r="AX21" s="18" t="s">
        <v>9</v>
      </c>
      <c r="AY21" s="18" t="s">
        <v>9</v>
      </c>
      <c r="AZ21" s="18" t="s">
        <v>9</v>
      </c>
      <c r="BA21" s="18" t="s">
        <v>9</v>
      </c>
      <c r="BB21" s="18" t="s">
        <v>10</v>
      </c>
      <c r="BC21" s="18" t="s">
        <v>17</v>
      </c>
      <c r="BD21" s="18" t="s">
        <v>17</v>
      </c>
      <c r="BE21" s="18" t="s">
        <v>17</v>
      </c>
      <c r="BF21" s="18" t="s">
        <v>9</v>
      </c>
      <c r="BG21" s="18" t="s">
        <v>9</v>
      </c>
      <c r="BH21" s="18" t="s">
        <v>10</v>
      </c>
      <c r="BI21" s="18" t="s">
        <v>10</v>
      </c>
      <c r="BJ21" s="18" t="s">
        <v>9</v>
      </c>
      <c r="BK21" s="18" t="s">
        <v>10</v>
      </c>
      <c r="BL21" s="18" t="s">
        <v>9</v>
      </c>
      <c r="BM21" s="18" t="s">
        <v>9</v>
      </c>
      <c r="BN21" s="18" t="s">
        <v>9</v>
      </c>
      <c r="BO21" s="18" t="s">
        <v>9</v>
      </c>
      <c r="BP21" s="18" t="s">
        <v>10</v>
      </c>
      <c r="BQ21" s="18" t="s">
        <v>17</v>
      </c>
      <c r="BR21" s="18" t="s">
        <v>10</v>
      </c>
      <c r="BS21" s="18" t="s">
        <v>17</v>
      </c>
      <c r="BT21" s="18" t="s">
        <v>17</v>
      </c>
      <c r="BU21" s="18" t="s">
        <v>17</v>
      </c>
      <c r="BV21" s="18" t="s">
        <v>17</v>
      </c>
      <c r="BW21" s="18" t="s">
        <v>17</v>
      </c>
      <c r="BX21" s="18" t="s">
        <v>17</v>
      </c>
      <c r="BY21" s="18" t="s">
        <v>9</v>
      </c>
      <c r="BZ21" s="18" t="s">
        <v>10</v>
      </c>
      <c r="CA21" s="18" t="s">
        <v>9</v>
      </c>
      <c r="CB21" s="18" t="s">
        <v>9</v>
      </c>
      <c r="CC21" s="18" t="s">
        <v>9</v>
      </c>
      <c r="CD21" s="18" t="s">
        <v>9</v>
      </c>
      <c r="CE21" s="18" t="s">
        <v>17</v>
      </c>
      <c r="CF21" s="18" t="s">
        <v>9</v>
      </c>
      <c r="CG21" s="18" t="s">
        <v>9</v>
      </c>
      <c r="CH21" s="18" t="s">
        <v>9</v>
      </c>
      <c r="CI21" s="18" t="s">
        <v>10</v>
      </c>
      <c r="CJ21" s="18" t="s">
        <v>10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</row>
    <row r="22" customFormat="false" ht="15.75" hidden="false" customHeight="true" outlineLevel="0" collapsed="false">
      <c r="A22" s="17"/>
      <c r="B22" s="21" t="n">
        <v>25214</v>
      </c>
      <c r="C22" s="22" t="s">
        <v>44</v>
      </c>
      <c r="D22" s="17" t="n">
        <f aca="false">COUNTIF($G22:$CZ22,D$9)</f>
        <v>49</v>
      </c>
      <c r="E22" s="17" t="n">
        <f aca="false">COUNTIF($G22:$CZ22,E$9)</f>
        <v>16</v>
      </c>
      <c r="F22" s="17" t="n">
        <f aca="false">COUNTIF($G22:$CZ22,F$9)</f>
        <v>1</v>
      </c>
      <c r="G22" s="18"/>
      <c r="H22" s="18" t="s">
        <v>9</v>
      </c>
      <c r="I22" s="18" t="s">
        <v>9</v>
      </c>
      <c r="J22" s="18" t="s">
        <v>9</v>
      </c>
      <c r="K22" s="18" t="s">
        <v>9</v>
      </c>
      <c r="L22" s="18"/>
      <c r="M22" s="18" t="s">
        <v>9</v>
      </c>
      <c r="N22" s="18" t="s">
        <v>9</v>
      </c>
      <c r="O22" s="18" t="s">
        <v>9</v>
      </c>
      <c r="P22" s="18" t="s">
        <v>9</v>
      </c>
      <c r="Q22" s="18" t="s">
        <v>9</v>
      </c>
      <c r="R22" s="18" t="s">
        <v>9</v>
      </c>
      <c r="S22" s="18" t="s">
        <v>9</v>
      </c>
      <c r="T22" s="18" t="s">
        <v>9</v>
      </c>
      <c r="U22" s="18" t="s">
        <v>9</v>
      </c>
      <c r="V22" s="18" t="s">
        <v>9</v>
      </c>
      <c r="W22" s="18" t="s">
        <v>9</v>
      </c>
      <c r="X22" s="18" t="s">
        <v>9</v>
      </c>
      <c r="Y22" s="18" t="s">
        <v>9</v>
      </c>
      <c r="Z22" s="18" t="s">
        <v>9</v>
      </c>
      <c r="AA22" s="18" t="s">
        <v>9</v>
      </c>
      <c r="AB22" s="18" t="s">
        <v>9</v>
      </c>
      <c r="AC22" s="18" t="s">
        <v>9</v>
      </c>
      <c r="AD22" s="18" t="s">
        <v>9</v>
      </c>
      <c r="AE22" s="18" t="s">
        <v>9</v>
      </c>
      <c r="AF22" s="18" t="s">
        <v>17</v>
      </c>
      <c r="AG22" s="18" t="s">
        <v>9</v>
      </c>
      <c r="AH22" s="18" t="s">
        <v>10</v>
      </c>
      <c r="AI22" s="18" t="s">
        <v>9</v>
      </c>
      <c r="AJ22" s="18" t="s">
        <v>17</v>
      </c>
      <c r="AK22" s="18" t="s">
        <v>9</v>
      </c>
      <c r="AL22" s="18" t="s">
        <v>9</v>
      </c>
      <c r="AM22" s="18" t="s">
        <v>9</v>
      </c>
      <c r="AN22" s="18" t="s">
        <v>9</v>
      </c>
      <c r="AO22" s="18" t="s">
        <v>17</v>
      </c>
      <c r="AP22" s="18" t="s">
        <v>10</v>
      </c>
      <c r="AQ22" s="18" t="s">
        <v>9</v>
      </c>
      <c r="AR22" s="18" t="s">
        <v>9</v>
      </c>
      <c r="AS22" s="18" t="s">
        <v>9</v>
      </c>
      <c r="AT22" s="18" t="s">
        <v>10</v>
      </c>
      <c r="AU22" s="18" t="s">
        <v>9</v>
      </c>
      <c r="AV22" s="18" t="s">
        <v>11</v>
      </c>
      <c r="AW22" s="18" t="s">
        <v>9</v>
      </c>
      <c r="AX22" s="18" t="s">
        <v>9</v>
      </c>
      <c r="AY22" s="18" t="s">
        <v>9</v>
      </c>
      <c r="AZ22" s="18" t="s">
        <v>9</v>
      </c>
      <c r="BA22" s="18" t="s">
        <v>9</v>
      </c>
      <c r="BB22" s="18" t="s">
        <v>10</v>
      </c>
      <c r="BC22" s="18" t="s">
        <v>17</v>
      </c>
      <c r="BD22" s="18" t="s">
        <v>17</v>
      </c>
      <c r="BE22" s="18" t="s">
        <v>17</v>
      </c>
      <c r="BF22" s="18" t="s">
        <v>9</v>
      </c>
      <c r="BG22" s="18" t="s">
        <v>9</v>
      </c>
      <c r="BH22" s="18" t="s">
        <v>10</v>
      </c>
      <c r="BI22" s="18" t="s">
        <v>9</v>
      </c>
      <c r="BJ22" s="18" t="s">
        <v>9</v>
      </c>
      <c r="BK22" s="18" t="s">
        <v>9</v>
      </c>
      <c r="BL22" s="18" t="s">
        <v>9</v>
      </c>
      <c r="BM22" s="18" t="s">
        <v>9</v>
      </c>
      <c r="BN22" s="18" t="s">
        <v>9</v>
      </c>
      <c r="BO22" s="18" t="s">
        <v>9</v>
      </c>
      <c r="BP22" s="18" t="s">
        <v>9</v>
      </c>
      <c r="BQ22" s="18" t="s">
        <v>17</v>
      </c>
      <c r="BR22" s="18" t="s">
        <v>10</v>
      </c>
      <c r="BS22" s="18" t="s">
        <v>17</v>
      </c>
      <c r="BT22" s="18" t="s">
        <v>17</v>
      </c>
      <c r="BU22" s="18" t="s">
        <v>17</v>
      </c>
      <c r="BV22" s="18" t="s">
        <v>17</v>
      </c>
      <c r="BW22" s="18" t="s">
        <v>17</v>
      </c>
      <c r="BX22" s="18" t="s">
        <v>17</v>
      </c>
      <c r="BY22" s="18" t="s">
        <v>10</v>
      </c>
      <c r="BZ22" s="18" t="s">
        <v>9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17</v>
      </c>
      <c r="CF22" s="18" t="s">
        <v>10</v>
      </c>
      <c r="CG22" s="18" t="s">
        <v>10</v>
      </c>
      <c r="CH22" s="18" t="s">
        <v>10</v>
      </c>
      <c r="CI22" s="18" t="s">
        <v>10</v>
      </c>
      <c r="CJ22" s="18" t="s">
        <v>10</v>
      </c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</row>
    <row r="23" customFormat="false" ht="15.75" hidden="false" customHeight="true" outlineLevel="0" collapsed="false">
      <c r="A23" s="17"/>
      <c r="B23" s="23" t="n">
        <v>25215</v>
      </c>
      <c r="C23" s="24" t="s">
        <v>45</v>
      </c>
      <c r="D23" s="17" t="n">
        <f aca="false">COUNTIF($G23:$CZ23,D$9)</f>
        <v>60</v>
      </c>
      <c r="E23" s="17" t="n">
        <f aca="false">COUNTIF($G23:$CZ23,E$9)</f>
        <v>6</v>
      </c>
      <c r="F23" s="17" t="n">
        <f aca="false">COUNTIF($G23:$CZ23,F$9)</f>
        <v>0</v>
      </c>
      <c r="G23" s="18"/>
      <c r="H23" s="18" t="s">
        <v>9</v>
      </c>
      <c r="I23" s="18" t="s">
        <v>9</v>
      </c>
      <c r="J23" s="18" t="s">
        <v>9</v>
      </c>
      <c r="K23" s="18" t="s">
        <v>9</v>
      </c>
      <c r="L23" s="18"/>
      <c r="M23" s="18" t="s">
        <v>9</v>
      </c>
      <c r="N23" s="18" t="s">
        <v>9</v>
      </c>
      <c r="O23" s="18" t="s">
        <v>9</v>
      </c>
      <c r="P23" s="18" t="s">
        <v>9</v>
      </c>
      <c r="Q23" s="18" t="s">
        <v>9</v>
      </c>
      <c r="R23" s="18" t="s">
        <v>9</v>
      </c>
      <c r="S23" s="18" t="s">
        <v>9</v>
      </c>
      <c r="T23" s="18" t="s">
        <v>9</v>
      </c>
      <c r="U23" s="18" t="s">
        <v>9</v>
      </c>
      <c r="V23" s="18" t="s">
        <v>9</v>
      </c>
      <c r="W23" s="18" t="s">
        <v>9</v>
      </c>
      <c r="X23" s="18" t="s">
        <v>9</v>
      </c>
      <c r="Y23" s="18" t="s">
        <v>9</v>
      </c>
      <c r="Z23" s="18" t="s">
        <v>9</v>
      </c>
      <c r="AA23" s="18" t="s">
        <v>9</v>
      </c>
      <c r="AB23" s="18" t="s">
        <v>9</v>
      </c>
      <c r="AC23" s="18" t="s">
        <v>9</v>
      </c>
      <c r="AD23" s="18" t="s">
        <v>9</v>
      </c>
      <c r="AE23" s="18" t="s">
        <v>9</v>
      </c>
      <c r="AF23" s="18" t="s">
        <v>17</v>
      </c>
      <c r="AG23" s="18" t="s">
        <v>9</v>
      </c>
      <c r="AH23" s="18" t="s">
        <v>9</v>
      </c>
      <c r="AI23" s="18" t="s">
        <v>9</v>
      </c>
      <c r="AJ23" s="18" t="s">
        <v>17</v>
      </c>
      <c r="AK23" s="18" t="s">
        <v>9</v>
      </c>
      <c r="AL23" s="18" t="s">
        <v>9</v>
      </c>
      <c r="AM23" s="18" t="s">
        <v>9</v>
      </c>
      <c r="AN23" s="18" t="s">
        <v>9</v>
      </c>
      <c r="AO23" s="18" t="s">
        <v>17</v>
      </c>
      <c r="AP23" s="18" t="s">
        <v>9</v>
      </c>
      <c r="AQ23" s="18" t="s">
        <v>9</v>
      </c>
      <c r="AR23" s="18" t="s">
        <v>9</v>
      </c>
      <c r="AS23" s="18" t="s">
        <v>9</v>
      </c>
      <c r="AT23" s="18" t="s">
        <v>9</v>
      </c>
      <c r="AU23" s="18" t="s">
        <v>9</v>
      </c>
      <c r="AV23" s="18" t="s">
        <v>9</v>
      </c>
      <c r="AW23" s="18" t="s">
        <v>9</v>
      </c>
      <c r="AX23" s="18" t="s">
        <v>9</v>
      </c>
      <c r="AY23" s="18" t="s">
        <v>9</v>
      </c>
      <c r="AZ23" s="18" t="s">
        <v>9</v>
      </c>
      <c r="BA23" s="18" t="s">
        <v>9</v>
      </c>
      <c r="BB23" s="18" t="s">
        <v>10</v>
      </c>
      <c r="BC23" s="18" t="s">
        <v>17</v>
      </c>
      <c r="BD23" s="18" t="s">
        <v>17</v>
      </c>
      <c r="BE23" s="18" t="s">
        <v>17</v>
      </c>
      <c r="BF23" s="18" t="s">
        <v>9</v>
      </c>
      <c r="BG23" s="18" t="s">
        <v>10</v>
      </c>
      <c r="BH23" s="18" t="s">
        <v>9</v>
      </c>
      <c r="BI23" s="18" t="s">
        <v>9</v>
      </c>
      <c r="BJ23" s="18" t="s">
        <v>9</v>
      </c>
      <c r="BK23" s="18" t="s">
        <v>9</v>
      </c>
      <c r="BL23" s="18" t="s">
        <v>9</v>
      </c>
      <c r="BM23" s="18" t="s">
        <v>10</v>
      </c>
      <c r="BN23" s="18" t="s">
        <v>9</v>
      </c>
      <c r="BO23" s="18" t="s">
        <v>9</v>
      </c>
      <c r="BP23" s="18" t="s">
        <v>10</v>
      </c>
      <c r="BQ23" s="18" t="s">
        <v>17</v>
      </c>
      <c r="BR23" s="18" t="s">
        <v>9</v>
      </c>
      <c r="BS23" s="18" t="s">
        <v>17</v>
      </c>
      <c r="BT23" s="18" t="s">
        <v>17</v>
      </c>
      <c r="BU23" s="18" t="s">
        <v>17</v>
      </c>
      <c r="BV23" s="18" t="s">
        <v>17</v>
      </c>
      <c r="BW23" s="18" t="s">
        <v>17</v>
      </c>
      <c r="BX23" s="18" t="s">
        <v>17</v>
      </c>
      <c r="BY23" s="18" t="s">
        <v>10</v>
      </c>
      <c r="BZ23" s="18" t="s">
        <v>9</v>
      </c>
      <c r="CA23" s="18" t="s">
        <v>9</v>
      </c>
      <c r="CB23" s="18" t="s">
        <v>9</v>
      </c>
      <c r="CC23" s="18" t="s">
        <v>10</v>
      </c>
      <c r="CD23" s="18" t="s">
        <v>9</v>
      </c>
      <c r="CE23" s="18" t="s">
        <v>17</v>
      </c>
      <c r="CF23" s="18" t="s">
        <v>9</v>
      </c>
      <c r="CG23" s="18" t="s">
        <v>9</v>
      </c>
      <c r="CH23" s="18" t="s">
        <v>9</v>
      </c>
      <c r="CI23" s="18" t="s">
        <v>9</v>
      </c>
      <c r="CJ23" s="18" t="s">
        <v>9</v>
      </c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</row>
    <row r="24" customFormat="false" ht="15.75" hidden="false" customHeight="true" outlineLevel="0" collapsed="false">
      <c r="A24" s="17"/>
      <c r="B24" s="21" t="n">
        <v>25216</v>
      </c>
      <c r="C24" s="22" t="s">
        <v>46</v>
      </c>
      <c r="D24" s="17" t="n">
        <f aca="false">COUNTIF($G24:$CZ24,D$9)</f>
        <v>40</v>
      </c>
      <c r="E24" s="17" t="n">
        <f aca="false">COUNTIF($G24:$CZ24,E$9)</f>
        <v>23</v>
      </c>
      <c r="F24" s="17" t="n">
        <f aca="false">COUNTIF($G24:$CZ24,F$9)</f>
        <v>3</v>
      </c>
      <c r="G24" s="18"/>
      <c r="H24" s="18" t="s">
        <v>9</v>
      </c>
      <c r="I24" s="18" t="s">
        <v>9</v>
      </c>
      <c r="J24" s="18" t="s">
        <v>9</v>
      </c>
      <c r="K24" s="18" t="s">
        <v>9</v>
      </c>
      <c r="L24" s="18"/>
      <c r="M24" s="18" t="s">
        <v>9</v>
      </c>
      <c r="N24" s="18" t="s">
        <v>9</v>
      </c>
      <c r="O24" s="18" t="s">
        <v>11</v>
      </c>
      <c r="P24" s="18" t="s">
        <v>9</v>
      </c>
      <c r="Q24" s="18" t="s">
        <v>9</v>
      </c>
      <c r="R24" s="18" t="s">
        <v>11</v>
      </c>
      <c r="S24" s="18" t="s">
        <v>9</v>
      </c>
      <c r="T24" s="18" t="s">
        <v>10</v>
      </c>
      <c r="U24" s="18" t="s">
        <v>9</v>
      </c>
      <c r="V24" s="18" t="s">
        <v>9</v>
      </c>
      <c r="W24" s="18" t="s">
        <v>9</v>
      </c>
      <c r="X24" s="18" t="s">
        <v>9</v>
      </c>
      <c r="Y24" s="18" t="s">
        <v>9</v>
      </c>
      <c r="Z24" s="18" t="s">
        <v>9</v>
      </c>
      <c r="AA24" s="18" t="s">
        <v>9</v>
      </c>
      <c r="AB24" s="18" t="s">
        <v>9</v>
      </c>
      <c r="AC24" s="18" t="s">
        <v>11</v>
      </c>
      <c r="AD24" s="18" t="s">
        <v>9</v>
      </c>
      <c r="AE24" s="18" t="s">
        <v>10</v>
      </c>
      <c r="AF24" s="18" t="s">
        <v>17</v>
      </c>
      <c r="AG24" s="18" t="s">
        <v>9</v>
      </c>
      <c r="AH24" s="18" t="s">
        <v>9</v>
      </c>
      <c r="AI24" s="18" t="s">
        <v>9</v>
      </c>
      <c r="AJ24" s="18" t="s">
        <v>17</v>
      </c>
      <c r="AK24" s="18" t="s">
        <v>10</v>
      </c>
      <c r="AL24" s="18" t="s">
        <v>10</v>
      </c>
      <c r="AM24" s="18" t="s">
        <v>9</v>
      </c>
      <c r="AN24" s="18" t="s">
        <v>10</v>
      </c>
      <c r="AO24" s="18" t="s">
        <v>17</v>
      </c>
      <c r="AP24" s="18" t="s">
        <v>9</v>
      </c>
      <c r="AQ24" s="18" t="s">
        <v>9</v>
      </c>
      <c r="AR24" s="18" t="s">
        <v>9</v>
      </c>
      <c r="AS24" s="18" t="s">
        <v>9</v>
      </c>
      <c r="AT24" s="18" t="s">
        <v>10</v>
      </c>
      <c r="AU24" s="18" t="s">
        <v>9</v>
      </c>
      <c r="AV24" s="18" t="s">
        <v>9</v>
      </c>
      <c r="AW24" s="18" t="s">
        <v>9</v>
      </c>
      <c r="AX24" s="18" t="s">
        <v>9</v>
      </c>
      <c r="AY24" s="18" t="s">
        <v>9</v>
      </c>
      <c r="AZ24" s="18" t="s">
        <v>9</v>
      </c>
      <c r="BA24" s="18" t="s">
        <v>9</v>
      </c>
      <c r="BB24" s="18" t="s">
        <v>10</v>
      </c>
      <c r="BC24" s="18" t="s">
        <v>17</v>
      </c>
      <c r="BD24" s="18" t="s">
        <v>17</v>
      </c>
      <c r="BE24" s="18" t="s">
        <v>17</v>
      </c>
      <c r="BF24" s="18" t="s">
        <v>10</v>
      </c>
      <c r="BG24" s="18" t="s">
        <v>10</v>
      </c>
      <c r="BH24" s="18" t="s">
        <v>9</v>
      </c>
      <c r="BI24" s="18" t="s">
        <v>9</v>
      </c>
      <c r="BJ24" s="18" t="s">
        <v>10</v>
      </c>
      <c r="BK24" s="18" t="s">
        <v>9</v>
      </c>
      <c r="BL24" s="18" t="s">
        <v>10</v>
      </c>
      <c r="BM24" s="18" t="s">
        <v>10</v>
      </c>
      <c r="BN24" s="18" t="s">
        <v>9</v>
      </c>
      <c r="BO24" s="18" t="s">
        <v>10</v>
      </c>
      <c r="BP24" s="18" t="s">
        <v>10</v>
      </c>
      <c r="BQ24" s="18" t="s">
        <v>17</v>
      </c>
      <c r="BR24" s="18" t="s">
        <v>9</v>
      </c>
      <c r="BS24" s="18" t="s">
        <v>17</v>
      </c>
      <c r="BT24" s="18" t="s">
        <v>17</v>
      </c>
      <c r="BU24" s="18" t="s">
        <v>17</v>
      </c>
      <c r="BV24" s="18" t="s">
        <v>17</v>
      </c>
      <c r="BW24" s="18" t="s">
        <v>17</v>
      </c>
      <c r="BX24" s="18" t="s">
        <v>17</v>
      </c>
      <c r="BY24" s="18" t="s">
        <v>9</v>
      </c>
      <c r="BZ24" s="18" t="s">
        <v>10</v>
      </c>
      <c r="CA24" s="18" t="s">
        <v>10</v>
      </c>
      <c r="CB24" s="18" t="s">
        <v>10</v>
      </c>
      <c r="CC24" s="18" t="s">
        <v>9</v>
      </c>
      <c r="CD24" s="18" t="s">
        <v>10</v>
      </c>
      <c r="CE24" s="18" t="s">
        <v>17</v>
      </c>
      <c r="CF24" s="18" t="s">
        <v>10</v>
      </c>
      <c r="CG24" s="18" t="s">
        <v>10</v>
      </c>
      <c r="CH24" s="18" t="s">
        <v>10</v>
      </c>
      <c r="CI24" s="18" t="s">
        <v>10</v>
      </c>
      <c r="CJ24" s="18" t="s">
        <v>10</v>
      </c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</row>
    <row r="25" customFormat="false" ht="15.75" hidden="false" customHeight="true" outlineLevel="0" collapsed="false">
      <c r="A25" s="17"/>
      <c r="B25" s="23" t="n">
        <v>25217</v>
      </c>
      <c r="C25" s="24" t="s">
        <v>47</v>
      </c>
      <c r="D25" s="17" t="n">
        <f aca="false">COUNTIF($G25:$CZ25,D$9)</f>
        <v>31</v>
      </c>
      <c r="E25" s="17" t="n">
        <f aca="false">COUNTIF($G25:$CZ25,E$9)</f>
        <v>34</v>
      </c>
      <c r="F25" s="17" t="n">
        <f aca="false">COUNTIF($G25:$CZ25,F$9)</f>
        <v>1</v>
      </c>
      <c r="G25" s="18"/>
      <c r="H25" s="18" t="s">
        <v>9</v>
      </c>
      <c r="I25" s="18" t="s">
        <v>9</v>
      </c>
      <c r="J25" s="18" t="s">
        <v>9</v>
      </c>
      <c r="K25" s="18" t="s">
        <v>9</v>
      </c>
      <c r="L25" s="18"/>
      <c r="M25" s="18" t="s">
        <v>9</v>
      </c>
      <c r="N25" s="18" t="s">
        <v>9</v>
      </c>
      <c r="O25" s="18" t="s">
        <v>9</v>
      </c>
      <c r="P25" s="18" t="s">
        <v>9</v>
      </c>
      <c r="Q25" s="18" t="s">
        <v>9</v>
      </c>
      <c r="R25" s="18" t="s">
        <v>9</v>
      </c>
      <c r="S25" s="18" t="s">
        <v>9</v>
      </c>
      <c r="T25" s="18" t="s">
        <v>9</v>
      </c>
      <c r="U25" s="18" t="s">
        <v>9</v>
      </c>
      <c r="V25" s="18" t="s">
        <v>9</v>
      </c>
      <c r="W25" s="18" t="s">
        <v>9</v>
      </c>
      <c r="X25" s="18" t="s">
        <v>10</v>
      </c>
      <c r="Y25" s="18" t="s">
        <v>9</v>
      </c>
      <c r="Z25" s="18" t="s">
        <v>9</v>
      </c>
      <c r="AA25" s="18" t="s">
        <v>9</v>
      </c>
      <c r="AB25" s="18" t="s">
        <v>10</v>
      </c>
      <c r="AC25" s="18" t="s">
        <v>9</v>
      </c>
      <c r="AD25" s="18" t="s">
        <v>10</v>
      </c>
      <c r="AE25" s="18" t="s">
        <v>9</v>
      </c>
      <c r="AF25" s="18" t="s">
        <v>17</v>
      </c>
      <c r="AG25" s="18" t="s">
        <v>9</v>
      </c>
      <c r="AH25" s="18" t="s">
        <v>9</v>
      </c>
      <c r="AI25" s="18" t="s">
        <v>9</v>
      </c>
      <c r="AJ25" s="18" t="s">
        <v>17</v>
      </c>
      <c r="AK25" s="18" t="s">
        <v>9</v>
      </c>
      <c r="AL25" s="18" t="s">
        <v>9</v>
      </c>
      <c r="AM25" s="18" t="s">
        <v>9</v>
      </c>
      <c r="AN25" s="18" t="s">
        <v>9</v>
      </c>
      <c r="AO25" s="18" t="s">
        <v>17</v>
      </c>
      <c r="AP25" s="18" t="s">
        <v>10</v>
      </c>
      <c r="AQ25" s="18" t="s">
        <v>10</v>
      </c>
      <c r="AR25" s="18" t="s">
        <v>9</v>
      </c>
      <c r="AS25" s="18" t="s">
        <v>11</v>
      </c>
      <c r="AT25" s="18" t="s">
        <v>9</v>
      </c>
      <c r="AU25" s="18" t="s">
        <v>10</v>
      </c>
      <c r="AV25" s="18" t="s">
        <v>10</v>
      </c>
      <c r="AW25" s="18" t="s">
        <v>9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17</v>
      </c>
      <c r="BD25" s="18" t="s">
        <v>17</v>
      </c>
      <c r="BE25" s="18" t="s">
        <v>17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9</v>
      </c>
      <c r="BN25" s="18" t="s">
        <v>10</v>
      </c>
      <c r="BO25" s="18" t="s">
        <v>10</v>
      </c>
      <c r="BP25" s="18" t="s">
        <v>10</v>
      </c>
      <c r="BQ25" s="18" t="s">
        <v>17</v>
      </c>
      <c r="BR25" s="18" t="s">
        <v>10</v>
      </c>
      <c r="BS25" s="18" t="s">
        <v>17</v>
      </c>
      <c r="BT25" s="18" t="s">
        <v>17</v>
      </c>
      <c r="BU25" s="18" t="s">
        <v>17</v>
      </c>
      <c r="BV25" s="18" t="s">
        <v>17</v>
      </c>
      <c r="BW25" s="18" t="s">
        <v>17</v>
      </c>
      <c r="BX25" s="18" t="s">
        <v>17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17</v>
      </c>
      <c r="CF25" s="18" t="s">
        <v>10</v>
      </c>
      <c r="CG25" s="18" t="s">
        <v>10</v>
      </c>
      <c r="CH25" s="18" t="s">
        <v>10</v>
      </c>
      <c r="CI25" s="18" t="s">
        <v>10</v>
      </c>
      <c r="CJ25" s="18" t="s">
        <v>10</v>
      </c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</row>
    <row r="26" customFormat="false" ht="15.75" hidden="false" customHeight="true" outlineLevel="0" collapsed="false">
      <c r="A26" s="17"/>
      <c r="B26" s="21"/>
      <c r="C26" s="22" t="s">
        <v>48</v>
      </c>
      <c r="D26" s="17" t="n">
        <f aca="false">COUNTIF($G26:$CZ26,D$9)</f>
        <v>8</v>
      </c>
      <c r="E26" s="17" t="n">
        <f aca="false">COUNTIF($G26:$CZ26,E$9)</f>
        <v>9</v>
      </c>
      <c r="F26" s="17" t="n">
        <f aca="false">COUNTIF($G26:$CZ26,F$9)</f>
        <v>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 t="s">
        <v>10</v>
      </c>
      <c r="BC26" s="18" t="s">
        <v>17</v>
      </c>
      <c r="BD26" s="18" t="s">
        <v>17</v>
      </c>
      <c r="BE26" s="18" t="s">
        <v>17</v>
      </c>
      <c r="BF26" s="18"/>
      <c r="BG26" s="18"/>
      <c r="BH26" s="18"/>
      <c r="BI26" s="18"/>
      <c r="BJ26" s="18"/>
      <c r="BK26" s="18"/>
      <c r="BL26" s="18" t="s">
        <v>9</v>
      </c>
      <c r="BM26" s="18" t="s">
        <v>10</v>
      </c>
      <c r="BN26" s="18" t="s">
        <v>10</v>
      </c>
      <c r="BO26" s="18" t="s">
        <v>10</v>
      </c>
      <c r="BP26" s="18" t="s">
        <v>11</v>
      </c>
      <c r="BQ26" s="18" t="s">
        <v>17</v>
      </c>
      <c r="BR26" s="18" t="s">
        <v>10</v>
      </c>
      <c r="BS26" s="18" t="s">
        <v>17</v>
      </c>
      <c r="BT26" s="18" t="s">
        <v>17</v>
      </c>
      <c r="BU26" s="18" t="s">
        <v>17</v>
      </c>
      <c r="BV26" s="18" t="s">
        <v>17</v>
      </c>
      <c r="BW26" s="18" t="s">
        <v>17</v>
      </c>
      <c r="BX26" s="18" t="s">
        <v>17</v>
      </c>
      <c r="BY26" s="18" t="s">
        <v>10</v>
      </c>
      <c r="BZ26" s="18" t="s">
        <v>9</v>
      </c>
      <c r="CA26" s="18" t="s">
        <v>10</v>
      </c>
      <c r="CB26" s="18" t="s">
        <v>9</v>
      </c>
      <c r="CC26" s="18" t="s">
        <v>9</v>
      </c>
      <c r="CD26" s="18" t="s">
        <v>10</v>
      </c>
      <c r="CE26" s="18" t="s">
        <v>17</v>
      </c>
      <c r="CF26" s="18" t="s">
        <v>9</v>
      </c>
      <c r="CG26" s="18" t="s">
        <v>9</v>
      </c>
      <c r="CH26" s="18" t="s">
        <v>9</v>
      </c>
      <c r="CI26" s="18" t="s">
        <v>10</v>
      </c>
      <c r="CJ26" s="18" t="s">
        <v>9</v>
      </c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</row>
    <row r="27" customFormat="false" ht="15.75" hidden="false" customHeight="true" outlineLevel="0" collapsed="false">
      <c r="A27" s="17"/>
      <c r="B27" s="21" t="n">
        <v>25230</v>
      </c>
      <c r="C27" s="22" t="s">
        <v>49</v>
      </c>
      <c r="D27" s="17" t="n">
        <f aca="false">COUNTIF($G27:$CZ27,D$9)</f>
        <v>7</v>
      </c>
      <c r="E27" s="17" t="n">
        <f aca="false">COUNTIF($G27:$CZ27,E$9)</f>
        <v>12</v>
      </c>
      <c r="F27" s="17" t="n">
        <f aca="false">COUNTIF($G27:$CZ27,F$9)</f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 t="s">
        <v>9</v>
      </c>
      <c r="BC27" s="18" t="s">
        <v>17</v>
      </c>
      <c r="BD27" s="18" t="s">
        <v>17</v>
      </c>
      <c r="BE27" s="18" t="s">
        <v>17</v>
      </c>
      <c r="BF27" s="18"/>
      <c r="BG27" s="18"/>
      <c r="BH27" s="18"/>
      <c r="BI27" s="18"/>
      <c r="BJ27" s="18"/>
      <c r="BK27" s="18" t="s">
        <v>10</v>
      </c>
      <c r="BL27" s="18" t="s">
        <v>9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17</v>
      </c>
      <c r="BR27" s="18" t="s">
        <v>10</v>
      </c>
      <c r="BS27" s="18" t="s">
        <v>17</v>
      </c>
      <c r="BT27" s="18" t="s">
        <v>17</v>
      </c>
      <c r="BU27" s="18" t="s">
        <v>17</v>
      </c>
      <c r="BV27" s="18" t="s">
        <v>17</v>
      </c>
      <c r="BW27" s="18" t="s">
        <v>17</v>
      </c>
      <c r="BX27" s="18" t="s">
        <v>17</v>
      </c>
      <c r="BY27" s="18" t="s">
        <v>10</v>
      </c>
      <c r="BZ27" s="18" t="s">
        <v>10</v>
      </c>
      <c r="CA27" s="18" t="s">
        <v>9</v>
      </c>
      <c r="CB27" s="18" t="s">
        <v>9</v>
      </c>
      <c r="CC27" s="18" t="s">
        <v>10</v>
      </c>
      <c r="CD27" s="18" t="s">
        <v>9</v>
      </c>
      <c r="CE27" s="18" t="s">
        <v>17</v>
      </c>
      <c r="CF27" s="18" t="s">
        <v>10</v>
      </c>
      <c r="CG27" s="18" t="s">
        <v>10</v>
      </c>
      <c r="CH27" s="18" t="s">
        <v>10</v>
      </c>
      <c r="CI27" s="18" t="s">
        <v>9</v>
      </c>
      <c r="CJ27" s="18" t="s">
        <v>9</v>
      </c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</row>
    <row r="28" customFormat="false" ht="15.75" hidden="false" customHeight="true" outlineLevel="0" collapsed="false">
      <c r="A28" s="17"/>
      <c r="B28" s="23" t="n">
        <v>25231</v>
      </c>
      <c r="C28" s="24" t="s">
        <v>50</v>
      </c>
      <c r="D28" s="17" t="n">
        <f aca="false">COUNTIF($G28:$CZ28,D$9)</f>
        <v>7</v>
      </c>
      <c r="E28" s="17" t="n">
        <f aca="false">COUNTIF($G28:$CZ28,E$9)</f>
        <v>12</v>
      </c>
      <c r="F28" s="17" t="n">
        <f aca="false">COUNTIF($G28:$CZ28,F$9)</f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 t="s">
        <v>9</v>
      </c>
      <c r="BC28" s="18" t="s">
        <v>17</v>
      </c>
      <c r="BD28" s="18" t="s">
        <v>17</v>
      </c>
      <c r="BE28" s="18" t="s">
        <v>17</v>
      </c>
      <c r="BF28" s="18"/>
      <c r="BG28" s="18"/>
      <c r="BH28" s="18"/>
      <c r="BI28" s="18"/>
      <c r="BJ28" s="18"/>
      <c r="BK28" s="18" t="s">
        <v>10</v>
      </c>
      <c r="BL28" s="18" t="s">
        <v>9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17</v>
      </c>
      <c r="BR28" s="18" t="s">
        <v>10</v>
      </c>
      <c r="BS28" s="18" t="s">
        <v>17</v>
      </c>
      <c r="BT28" s="18" t="s">
        <v>17</v>
      </c>
      <c r="BU28" s="18" t="s">
        <v>17</v>
      </c>
      <c r="BV28" s="18" t="s">
        <v>17</v>
      </c>
      <c r="BW28" s="18" t="s">
        <v>17</v>
      </c>
      <c r="BX28" s="18" t="s">
        <v>17</v>
      </c>
      <c r="BY28" s="18" t="s">
        <v>10</v>
      </c>
      <c r="BZ28" s="18" t="s">
        <v>10</v>
      </c>
      <c r="CA28" s="18" t="s">
        <v>9</v>
      </c>
      <c r="CB28" s="18" t="s">
        <v>9</v>
      </c>
      <c r="CC28" s="18" t="s">
        <v>10</v>
      </c>
      <c r="CD28" s="18" t="s">
        <v>9</v>
      </c>
      <c r="CE28" s="18" t="s">
        <v>17</v>
      </c>
      <c r="CF28" s="18" t="s">
        <v>10</v>
      </c>
      <c r="CG28" s="18" t="s">
        <v>10</v>
      </c>
      <c r="CH28" s="18" t="s">
        <v>10</v>
      </c>
      <c r="CI28" s="18" t="s">
        <v>9</v>
      </c>
      <c r="CJ28" s="18" t="s">
        <v>9</v>
      </c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</row>
    <row r="29" customFormat="false" ht="15.75" hidden="false" customHeight="true" outlineLevel="0" collapsed="false">
      <c r="A29" s="17"/>
      <c r="B29" s="19"/>
      <c r="C29" s="25" t="s">
        <v>51</v>
      </c>
      <c r="D29" s="17" t="n">
        <f aca="false">COUNTIF($G29:$CZ29,D$9)</f>
        <v>5</v>
      </c>
      <c r="E29" s="17" t="n">
        <f aca="false">COUNTIF($G29:$CZ29,E$9)</f>
        <v>14</v>
      </c>
      <c r="F29" s="17" t="n">
        <f aca="false">COUNTIF($G29:$CZ29,F$9)</f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 t="s">
        <v>17</v>
      </c>
      <c r="BD29" s="18" t="s">
        <v>17</v>
      </c>
      <c r="BE29" s="18" t="s">
        <v>17</v>
      </c>
      <c r="BF29" s="18"/>
      <c r="BG29" s="18"/>
      <c r="BH29" s="18"/>
      <c r="BI29" s="18"/>
      <c r="BJ29" s="18" t="s">
        <v>9</v>
      </c>
      <c r="BK29" s="18" t="s">
        <v>10</v>
      </c>
      <c r="BL29" s="18" t="s">
        <v>10</v>
      </c>
      <c r="BM29" s="18" t="s">
        <v>9</v>
      </c>
      <c r="BN29" s="18" t="s">
        <v>9</v>
      </c>
      <c r="BO29" s="18" t="s">
        <v>9</v>
      </c>
      <c r="BP29" s="18" t="s">
        <v>9</v>
      </c>
      <c r="BQ29" s="18" t="s">
        <v>17</v>
      </c>
      <c r="BR29" s="18" t="s">
        <v>10</v>
      </c>
      <c r="BS29" s="18" t="s">
        <v>17</v>
      </c>
      <c r="BT29" s="18" t="s">
        <v>17</v>
      </c>
      <c r="BU29" s="18" t="s">
        <v>17</v>
      </c>
      <c r="BV29" s="18" t="s">
        <v>17</v>
      </c>
      <c r="BW29" s="18" t="s">
        <v>17</v>
      </c>
      <c r="BX29" s="18" t="s">
        <v>17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17</v>
      </c>
      <c r="CF29" s="18" t="s">
        <v>10</v>
      </c>
      <c r="CG29" s="18" t="s">
        <v>10</v>
      </c>
      <c r="CH29" s="18" t="s">
        <v>10</v>
      </c>
      <c r="CI29" s="18" t="s">
        <v>10</v>
      </c>
      <c r="CJ29" s="18" t="s">
        <v>10</v>
      </c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</row>
    <row r="30" customFormat="false" ht="15.75" hidden="false" customHeight="true" outlineLevel="0" collapsed="false">
      <c r="A30" s="26"/>
      <c r="B30" s="27"/>
      <c r="C30" s="28" t="s">
        <v>52</v>
      </c>
      <c r="D30" s="17" t="n">
        <f aca="false">COUNTIF($G30:$CZ30,D$9)</f>
        <v>26</v>
      </c>
      <c r="E30" s="17" t="n">
        <f aca="false">COUNTIF($G30:$CZ30,E$9)</f>
        <v>6</v>
      </c>
      <c r="F30" s="17" t="n">
        <f aca="false">COUNTIF($G30:$CZ30,F$9)</f>
        <v>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 t="s">
        <v>9</v>
      </c>
      <c r="AU30" s="29" t="s">
        <v>9</v>
      </c>
      <c r="AV30" s="29" t="s">
        <v>10</v>
      </c>
      <c r="AW30" s="29" t="s">
        <v>9</v>
      </c>
      <c r="AX30" s="29" t="s">
        <v>9</v>
      </c>
      <c r="AY30" s="29" t="s">
        <v>9</v>
      </c>
      <c r="AZ30" s="29" t="s">
        <v>9</v>
      </c>
      <c r="BA30" s="29" t="s">
        <v>9</v>
      </c>
      <c r="BB30" s="29" t="s">
        <v>9</v>
      </c>
      <c r="BC30" s="29" t="s">
        <v>17</v>
      </c>
      <c r="BD30" s="29" t="s">
        <v>17</v>
      </c>
      <c r="BE30" s="29" t="s">
        <v>17</v>
      </c>
      <c r="BF30" s="29" t="s">
        <v>9</v>
      </c>
      <c r="BG30" s="29" t="s">
        <v>9</v>
      </c>
      <c r="BH30" s="29" t="s">
        <v>9</v>
      </c>
      <c r="BI30" s="29" t="s">
        <v>9</v>
      </c>
      <c r="BJ30" s="29" t="s">
        <v>9</v>
      </c>
      <c r="BK30" s="29" t="s">
        <v>10</v>
      </c>
      <c r="BL30" s="29" t="s">
        <v>9</v>
      </c>
      <c r="BM30" s="29" t="s">
        <v>9</v>
      </c>
      <c r="BN30" s="29" t="s">
        <v>9</v>
      </c>
      <c r="BO30" s="29" t="s">
        <v>9</v>
      </c>
      <c r="BP30" s="29" t="s">
        <v>9</v>
      </c>
      <c r="BQ30" s="29" t="s">
        <v>17</v>
      </c>
      <c r="BR30" s="29" t="s">
        <v>9</v>
      </c>
      <c r="BS30" s="29" t="s">
        <v>17</v>
      </c>
      <c r="BT30" s="29" t="s">
        <v>17</v>
      </c>
      <c r="BU30" s="29" t="s">
        <v>17</v>
      </c>
      <c r="BV30" s="29" t="s">
        <v>17</v>
      </c>
      <c r="BW30" s="29" t="s">
        <v>17</v>
      </c>
      <c r="BX30" s="29" t="s">
        <v>17</v>
      </c>
      <c r="BY30" s="29" t="s">
        <v>10</v>
      </c>
      <c r="BZ30" s="29" t="s">
        <v>10</v>
      </c>
      <c r="CA30" s="29" t="s">
        <v>10</v>
      </c>
      <c r="CB30" s="29" t="s">
        <v>9</v>
      </c>
      <c r="CC30" s="29" t="s">
        <v>10</v>
      </c>
      <c r="CD30" s="29" t="s">
        <v>9</v>
      </c>
      <c r="CE30" s="29" t="s">
        <v>17</v>
      </c>
      <c r="CF30" s="29" t="s">
        <v>9</v>
      </c>
      <c r="CG30" s="29" t="s">
        <v>9</v>
      </c>
      <c r="CH30" s="29" t="s">
        <v>9</v>
      </c>
      <c r="CI30" s="29" t="s">
        <v>9</v>
      </c>
      <c r="CJ30" s="29" t="s">
        <v>9</v>
      </c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</row>
    <row r="31" customFormat="false" ht="15.75" hidden="false" customHeight="true" outlineLevel="0" collapsed="false">
      <c r="A31" s="30"/>
      <c r="B31" s="31"/>
      <c r="C31" s="32" t="s">
        <v>53</v>
      </c>
      <c r="D31" s="17" t="n">
        <f aca="false">COUNTIF($G31:$CZ31,D$9)</f>
        <v>33</v>
      </c>
      <c r="E31" s="17" t="n">
        <f aca="false">COUNTIF($G31:$CZ31,E$9)</f>
        <v>0</v>
      </c>
      <c r="F31" s="17" t="n">
        <f aca="false">COUNTIF($G31:$CZ31,F$9)</f>
        <v>0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 t="s">
        <v>9</v>
      </c>
      <c r="AU31" s="33" t="s">
        <v>9</v>
      </c>
      <c r="AV31" s="33" t="s">
        <v>9</v>
      </c>
      <c r="AW31" s="33" t="s">
        <v>9</v>
      </c>
      <c r="AX31" s="33" t="s">
        <v>9</v>
      </c>
      <c r="AY31" s="33" t="s">
        <v>9</v>
      </c>
      <c r="AZ31" s="33" t="s">
        <v>9</v>
      </c>
      <c r="BA31" s="33" t="s">
        <v>9</v>
      </c>
      <c r="BB31" s="33" t="s">
        <v>9</v>
      </c>
      <c r="BC31" s="33" t="s">
        <v>17</v>
      </c>
      <c r="BD31" s="33" t="s">
        <v>17</v>
      </c>
      <c r="BE31" s="33" t="s">
        <v>17</v>
      </c>
      <c r="BF31" s="33" t="s">
        <v>9</v>
      </c>
      <c r="BG31" s="33" t="s">
        <v>9</v>
      </c>
      <c r="BH31" s="33" t="s">
        <v>9</v>
      </c>
      <c r="BI31" s="33" t="s">
        <v>9</v>
      </c>
      <c r="BJ31" s="33" t="s">
        <v>9</v>
      </c>
      <c r="BK31" s="33" t="s">
        <v>9</v>
      </c>
      <c r="BL31" s="33" t="s">
        <v>9</v>
      </c>
      <c r="BM31" s="33" t="s">
        <v>9</v>
      </c>
      <c r="BN31" s="33" t="s">
        <v>9</v>
      </c>
      <c r="BO31" s="33" t="s">
        <v>9</v>
      </c>
      <c r="BP31" s="33" t="s">
        <v>9</v>
      </c>
      <c r="BQ31" s="33" t="s">
        <v>9</v>
      </c>
      <c r="BR31" s="33" t="s">
        <v>9</v>
      </c>
      <c r="BS31" s="33" t="s">
        <v>17</v>
      </c>
      <c r="BT31" s="33" t="s">
        <v>17</v>
      </c>
      <c r="BU31" s="33" t="s">
        <v>17</v>
      </c>
      <c r="BV31" s="33" t="s">
        <v>17</v>
      </c>
      <c r="BW31" s="33" t="s">
        <v>17</v>
      </c>
      <c r="BX31" s="33" t="s">
        <v>17</v>
      </c>
      <c r="BY31" s="33" t="s">
        <v>9</v>
      </c>
      <c r="BZ31" s="33" t="s">
        <v>9</v>
      </c>
      <c r="CA31" s="33" t="s">
        <v>9</v>
      </c>
      <c r="CB31" s="33" t="s">
        <v>9</v>
      </c>
      <c r="CC31" s="33" t="s">
        <v>9</v>
      </c>
      <c r="CD31" s="33" t="s">
        <v>9</v>
      </c>
      <c r="CE31" s="33"/>
      <c r="CF31" s="33" t="s">
        <v>9</v>
      </c>
      <c r="CG31" s="33" t="s">
        <v>9</v>
      </c>
      <c r="CH31" s="33" t="s">
        <v>9</v>
      </c>
      <c r="CI31" s="33" t="s">
        <v>9</v>
      </c>
      <c r="CJ31" s="33" t="s">
        <v>9</v>
      </c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7:CZ7" type="list">
      <formula1>"SHAKIL,JIHAD,MAM"</formula1>
      <formula2>0</formula2>
    </dataValidation>
    <dataValidation allowBlank="true" errorStyle="stop" operator="between" showDropDown="false" showErrorMessage="true" showInputMessage="false" sqref="G10:CZ31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</dataValidations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3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9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0" topLeftCell="G1" activePane="topRight" state="frozen"/>
      <selection pane="topLeft" activeCell="A1" activeCellId="0" sqref="A1"/>
      <selection pane="topRigh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1.12"/>
    <col collapsed="false" customWidth="true" hidden="false" outlineLevel="0" max="3" min="3" style="0" width="27"/>
    <col collapsed="false" customWidth="true" hidden="false" outlineLevel="0" max="6" min="4" style="0" width="6.38"/>
    <col collapsed="false" customWidth="true" hidden="false" outlineLevel="0" max="89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29</v>
      </c>
      <c r="G2" s="3" t="s">
        <v>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23.25" hidden="false" customHeight="true" outlineLevel="0" collapsed="false">
      <c r="B4" s="4" t="s">
        <v>2</v>
      </c>
      <c r="C4" s="5" t="n">
        <v>45991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46172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15</v>
      </c>
      <c r="H7" s="9" t="s">
        <v>15</v>
      </c>
      <c r="I7" s="9" t="s">
        <v>15</v>
      </c>
      <c r="J7" s="9" t="s">
        <v>15</v>
      </c>
      <c r="K7" s="9" t="s">
        <v>15</v>
      </c>
      <c r="L7" s="9" t="s">
        <v>15</v>
      </c>
      <c r="M7" s="9" t="s">
        <v>15</v>
      </c>
      <c r="N7" s="9" t="s">
        <v>15</v>
      </c>
      <c r="O7" s="9" t="s">
        <v>15</v>
      </c>
      <c r="P7" s="9" t="s">
        <v>15</v>
      </c>
      <c r="Q7" s="9" t="s">
        <v>15</v>
      </c>
      <c r="R7" s="9" t="s">
        <v>15</v>
      </c>
      <c r="S7" s="9" t="s">
        <v>15</v>
      </c>
      <c r="T7" s="9" t="s">
        <v>15</v>
      </c>
      <c r="U7" s="9" t="s">
        <v>15</v>
      </c>
      <c r="V7" s="9" t="s">
        <v>15</v>
      </c>
      <c r="W7" s="9" t="s">
        <v>15</v>
      </c>
      <c r="X7" s="9" t="s">
        <v>15</v>
      </c>
      <c r="Y7" s="9" t="s">
        <v>15</v>
      </c>
      <c r="Z7" s="9" t="s">
        <v>15</v>
      </c>
      <c r="AA7" s="9" t="s">
        <v>15</v>
      </c>
      <c r="AB7" s="9" t="s">
        <v>15</v>
      </c>
      <c r="AC7" s="9" t="s">
        <v>15</v>
      </c>
      <c r="AD7" s="9" t="s">
        <v>15</v>
      </c>
      <c r="AE7" s="9" t="s">
        <v>15</v>
      </c>
      <c r="AF7" s="9" t="s">
        <v>15</v>
      </c>
      <c r="AG7" s="9" t="s">
        <v>15</v>
      </c>
      <c r="AH7" s="9" t="s">
        <v>15</v>
      </c>
      <c r="AI7" s="9" t="s">
        <v>15</v>
      </c>
      <c r="AJ7" s="9" t="s">
        <v>15</v>
      </c>
      <c r="AK7" s="9" t="s">
        <v>15</v>
      </c>
      <c r="AL7" s="9" t="s">
        <v>15</v>
      </c>
      <c r="AM7" s="9" t="s">
        <v>15</v>
      </c>
      <c r="AN7" s="9" t="s">
        <v>15</v>
      </c>
      <c r="AO7" s="9" t="s">
        <v>15</v>
      </c>
      <c r="AP7" s="9" t="s">
        <v>15</v>
      </c>
      <c r="AQ7" s="9" t="s">
        <v>15</v>
      </c>
      <c r="AR7" s="9" t="s">
        <v>15</v>
      </c>
      <c r="AS7" s="9" t="s">
        <v>15</v>
      </c>
      <c r="AT7" s="9" t="s">
        <v>15</v>
      </c>
      <c r="AU7" s="9" t="s">
        <v>15</v>
      </c>
      <c r="AV7" s="9" t="s">
        <v>15</v>
      </c>
      <c r="AW7" s="9" t="s">
        <v>15</v>
      </c>
      <c r="AX7" s="9" t="s">
        <v>15</v>
      </c>
      <c r="AY7" s="9" t="s">
        <v>5</v>
      </c>
      <c r="AZ7" s="9" t="s">
        <v>15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15</v>
      </c>
      <c r="BH7" s="9" t="s">
        <v>15</v>
      </c>
      <c r="BI7" s="9" t="s">
        <v>15</v>
      </c>
      <c r="BJ7" s="9" t="s">
        <v>15</v>
      </c>
      <c r="BK7" s="9" t="s">
        <v>15</v>
      </c>
      <c r="BL7" s="9" t="s">
        <v>15</v>
      </c>
      <c r="BM7" s="9" t="s">
        <v>15</v>
      </c>
      <c r="BN7" s="9" t="s">
        <v>15</v>
      </c>
      <c r="BO7" s="9" t="s">
        <v>15</v>
      </c>
      <c r="BP7" s="9" t="s">
        <v>15</v>
      </c>
      <c r="BQ7" s="9" t="s">
        <v>15</v>
      </c>
      <c r="BR7" s="9" t="s">
        <v>15</v>
      </c>
      <c r="BS7" s="9" t="s">
        <v>15</v>
      </c>
      <c r="BT7" s="9" t="s">
        <v>15</v>
      </c>
      <c r="BU7" s="9" t="s">
        <v>15</v>
      </c>
      <c r="BV7" s="9" t="s">
        <v>15</v>
      </c>
      <c r="BW7" s="9" t="s">
        <v>15</v>
      </c>
      <c r="BX7" s="9" t="s">
        <v>15</v>
      </c>
      <c r="BY7" s="9" t="s">
        <v>15</v>
      </c>
      <c r="BZ7" s="9" t="s">
        <v>15</v>
      </c>
      <c r="CA7" s="9" t="s">
        <v>15</v>
      </c>
      <c r="CB7" s="9" t="s">
        <v>15</v>
      </c>
      <c r="CC7" s="9" t="s">
        <v>15</v>
      </c>
      <c r="CD7" s="9" t="s">
        <v>5</v>
      </c>
      <c r="CE7" s="9" t="s">
        <v>5</v>
      </c>
      <c r="CF7" s="9" t="s">
        <v>5</v>
      </c>
      <c r="CG7" s="9" t="s">
        <v>5</v>
      </c>
      <c r="CH7" s="9" t="s">
        <v>15</v>
      </c>
      <c r="CI7" s="9" t="s">
        <v>15</v>
      </c>
      <c r="CJ7" s="9" t="s">
        <v>15</v>
      </c>
      <c r="CK7" s="9" t="s">
        <v>15</v>
      </c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  <c r="BO8" s="10" t="str">
        <f aca="false">TEXT(BO9,"DDD")</f>
        <v>Sun</v>
      </c>
      <c r="BP8" s="10" t="str">
        <f aca="false">TEXT(BP9,"DDD")</f>
        <v>Tue</v>
      </c>
      <c r="BQ8" s="10" t="str">
        <f aca="false">TEXT(BQ9,"DDD")</f>
        <v>Thu</v>
      </c>
      <c r="BR8" s="10" t="str">
        <f aca="false">TEXT(BR9,"DDD")</f>
        <v>Sun</v>
      </c>
      <c r="BS8" s="10" t="str">
        <f aca="false">TEXT(BS9,"DDD")</f>
        <v>Tue</v>
      </c>
      <c r="BT8" s="10" t="str">
        <f aca="false">TEXT(BT9,"DDD")</f>
        <v>Thu</v>
      </c>
      <c r="BU8" s="10" t="str">
        <f aca="false">TEXT(BU9,"DDD")</f>
        <v>Sun</v>
      </c>
      <c r="BV8" s="10" t="str">
        <f aca="false">TEXT(BV9,"DDD")</f>
        <v>Tue</v>
      </c>
      <c r="BW8" s="10" t="str">
        <f aca="false">TEXT(BW9,"DDD")</f>
        <v>Thu</v>
      </c>
      <c r="BX8" s="10" t="str">
        <f aca="false">TEXT(BX9,"DDD")</f>
        <v>Sun</v>
      </c>
      <c r="BY8" s="10" t="str">
        <f aca="false">TEXT(BY9,"DDD")</f>
        <v>Tue</v>
      </c>
      <c r="BZ8" s="10" t="str">
        <f aca="false">TEXT(BZ9,"DDD")</f>
        <v>Thu</v>
      </c>
      <c r="CA8" s="10" t="str">
        <f aca="false">TEXT(CA9,"DDD")</f>
        <v>Sun</v>
      </c>
      <c r="CB8" s="10" t="str">
        <f aca="false">TEXT(CB9,"DDD")</f>
        <v>Tue</v>
      </c>
      <c r="CC8" s="10" t="str">
        <f aca="false">TEXT(CC9,"DDD")</f>
        <v>Thu</v>
      </c>
      <c r="CD8" s="10" t="str">
        <f aca="false">TEXT(CD9,"DDD")</f>
        <v>Sun</v>
      </c>
      <c r="CE8" s="10" t="str">
        <f aca="false">TEXT(CE9,"DDD")</f>
        <v>Tue</v>
      </c>
      <c r="CF8" s="10" t="str">
        <f aca="false">TEXT(CF9,"DDD")</f>
        <v>Thu</v>
      </c>
      <c r="CG8" s="10" t="str">
        <f aca="false">TEXT(CG9,"DDD")</f>
        <v>Sun</v>
      </c>
      <c r="CH8" s="10" t="str">
        <f aca="false">TEXT(CH9,"DDD")</f>
        <v>Tue</v>
      </c>
      <c r="CI8" s="10" t="str">
        <f aca="false">TEXT(CI9,"DDD")</f>
        <v>Thu</v>
      </c>
      <c r="CJ8" s="10" t="str">
        <f aca="false">TEXT(CJ9,"DDD")</f>
        <v>Sat</v>
      </c>
      <c r="CK8" s="10" t="str">
        <f aca="false">TEXT(CK9,"DDD")</f>
        <v>Mon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45991</v>
      </c>
      <c r="H9" s="15" t="n">
        <f aca="false">G9+2</f>
        <v>45993</v>
      </c>
      <c r="I9" s="15" t="n">
        <f aca="false">H9+2</f>
        <v>45995</v>
      </c>
      <c r="J9" s="15" t="n">
        <f aca="false">I9+3</f>
        <v>45998</v>
      </c>
      <c r="K9" s="15" t="n">
        <f aca="false">J9+2</f>
        <v>46000</v>
      </c>
      <c r="L9" s="15" t="n">
        <f aca="false">K9+2</f>
        <v>46002</v>
      </c>
      <c r="M9" s="15" t="n">
        <f aca="false">L9+3</f>
        <v>46005</v>
      </c>
      <c r="N9" s="15" t="n">
        <f aca="false">M9+2</f>
        <v>46007</v>
      </c>
      <c r="O9" s="15" t="n">
        <f aca="false">N9+2</f>
        <v>46009</v>
      </c>
      <c r="P9" s="15" t="n">
        <f aca="false">O9+3</f>
        <v>46012</v>
      </c>
      <c r="Q9" s="15" t="n">
        <f aca="false">P9+2</f>
        <v>46014</v>
      </c>
      <c r="R9" s="15" t="n">
        <f aca="false">Q9+2</f>
        <v>46016</v>
      </c>
      <c r="S9" s="15" t="n">
        <f aca="false">R9+3</f>
        <v>46019</v>
      </c>
      <c r="T9" s="15" t="n">
        <f aca="false">S9+2</f>
        <v>46021</v>
      </c>
      <c r="U9" s="15" t="n">
        <f aca="false">T9+2</f>
        <v>46023</v>
      </c>
      <c r="V9" s="15" t="n">
        <f aca="false">U9+3</f>
        <v>46026</v>
      </c>
      <c r="W9" s="15" t="n">
        <f aca="false">V9+2</f>
        <v>46028</v>
      </c>
      <c r="X9" s="15" t="n">
        <f aca="false">W9+2</f>
        <v>46030</v>
      </c>
      <c r="Y9" s="15" t="n">
        <f aca="false">X9+3</f>
        <v>46033</v>
      </c>
      <c r="Z9" s="15" t="n">
        <f aca="false">Y9+2</f>
        <v>46035</v>
      </c>
      <c r="AA9" s="15" t="n">
        <f aca="false">Z9+2</f>
        <v>46037</v>
      </c>
      <c r="AB9" s="15" t="n">
        <f aca="false">AA9+3</f>
        <v>46040</v>
      </c>
      <c r="AC9" s="15" t="n">
        <f aca="false">AB9+2</f>
        <v>46042</v>
      </c>
      <c r="AD9" s="15" t="n">
        <f aca="false">AC9+2</f>
        <v>46044</v>
      </c>
      <c r="AE9" s="15" t="n">
        <f aca="false">AD9+3</f>
        <v>46047</v>
      </c>
      <c r="AF9" s="15" t="n">
        <f aca="false">AE9+2</f>
        <v>46049</v>
      </c>
      <c r="AG9" s="15" t="n">
        <f aca="false">AF9+2</f>
        <v>46051</v>
      </c>
      <c r="AH9" s="15" t="n">
        <f aca="false">AG9+3</f>
        <v>46054</v>
      </c>
      <c r="AI9" s="15" t="n">
        <f aca="false">AH9+2</f>
        <v>46056</v>
      </c>
      <c r="AJ9" s="15" t="n">
        <f aca="false">AI9+2</f>
        <v>46058</v>
      </c>
      <c r="AK9" s="15" t="n">
        <f aca="false">AJ9+3</f>
        <v>46061</v>
      </c>
      <c r="AL9" s="15" t="n">
        <f aca="false">AK9+2</f>
        <v>46063</v>
      </c>
      <c r="AM9" s="15" t="n">
        <f aca="false">AL9+2</f>
        <v>46065</v>
      </c>
      <c r="AN9" s="15" t="n">
        <f aca="false">AM9+3</f>
        <v>46068</v>
      </c>
      <c r="AO9" s="15" t="n">
        <f aca="false">AN9+2</f>
        <v>46070</v>
      </c>
      <c r="AP9" s="15" t="n">
        <f aca="false">AO9+2</f>
        <v>46072</v>
      </c>
      <c r="AQ9" s="15" t="n">
        <f aca="false">AP9+3</f>
        <v>46075</v>
      </c>
      <c r="AR9" s="15" t="n">
        <f aca="false">AQ9+2</f>
        <v>46077</v>
      </c>
      <c r="AS9" s="15" t="n">
        <f aca="false">AR9+2</f>
        <v>46079</v>
      </c>
      <c r="AT9" s="15" t="n">
        <f aca="false">AS9+3</f>
        <v>46082</v>
      </c>
      <c r="AU9" s="15" t="n">
        <f aca="false">AT9+2</f>
        <v>46084</v>
      </c>
      <c r="AV9" s="15" t="n">
        <f aca="false">AU9+2</f>
        <v>46086</v>
      </c>
      <c r="AW9" s="15" t="n">
        <f aca="false">AV9+3</f>
        <v>46089</v>
      </c>
      <c r="AX9" s="15" t="n">
        <f aca="false">AW9+2</f>
        <v>46091</v>
      </c>
      <c r="AY9" s="15" t="n">
        <f aca="false">AX9+2</f>
        <v>46093</v>
      </c>
      <c r="AZ9" s="15" t="n">
        <f aca="false">AY9+3</f>
        <v>46096</v>
      </c>
      <c r="BA9" s="15" t="n">
        <f aca="false">AZ9+2</f>
        <v>46098</v>
      </c>
      <c r="BB9" s="15" t="n">
        <f aca="false">BA9+2</f>
        <v>46100</v>
      </c>
      <c r="BC9" s="15" t="n">
        <f aca="false">BB9+3</f>
        <v>46103</v>
      </c>
      <c r="BD9" s="15" t="n">
        <f aca="false">BC9+2</f>
        <v>46105</v>
      </c>
      <c r="BE9" s="15" t="n">
        <f aca="false">BD9+2</f>
        <v>46107</v>
      </c>
      <c r="BF9" s="15" t="n">
        <f aca="false">BE9+3</f>
        <v>46110</v>
      </c>
      <c r="BG9" s="15" t="n">
        <f aca="false">BF9+2</f>
        <v>46112</v>
      </c>
      <c r="BH9" s="15" t="n">
        <f aca="false">BG9+2</f>
        <v>46114</v>
      </c>
      <c r="BI9" s="15" t="n">
        <f aca="false">BH9+3</f>
        <v>46117</v>
      </c>
      <c r="BJ9" s="15" t="n">
        <f aca="false">BI9+2</f>
        <v>46119</v>
      </c>
      <c r="BK9" s="15" t="n">
        <f aca="false">BJ9+2</f>
        <v>46121</v>
      </c>
      <c r="BL9" s="15" t="n">
        <f aca="false">BK9+3</f>
        <v>46124</v>
      </c>
      <c r="BM9" s="15" t="n">
        <f aca="false">BL9+2</f>
        <v>46126</v>
      </c>
      <c r="BN9" s="15" t="n">
        <f aca="false">BM9+2</f>
        <v>46128</v>
      </c>
      <c r="BO9" s="15" t="n">
        <f aca="false">BN9+3</f>
        <v>46131</v>
      </c>
      <c r="BP9" s="15" t="n">
        <f aca="false">BO9+2</f>
        <v>46133</v>
      </c>
      <c r="BQ9" s="15" t="n">
        <f aca="false">BP9+2</f>
        <v>46135</v>
      </c>
      <c r="BR9" s="15" t="n">
        <f aca="false">BQ9+3</f>
        <v>46138</v>
      </c>
      <c r="BS9" s="15" t="n">
        <f aca="false">BR9+2</f>
        <v>46140</v>
      </c>
      <c r="BT9" s="15" t="n">
        <f aca="false">BS9+2</f>
        <v>46142</v>
      </c>
      <c r="BU9" s="15" t="n">
        <f aca="false">BT9+3</f>
        <v>46145</v>
      </c>
      <c r="BV9" s="15" t="n">
        <f aca="false">BU9+2</f>
        <v>46147</v>
      </c>
      <c r="BW9" s="15" t="n">
        <f aca="false">BV9+2</f>
        <v>46149</v>
      </c>
      <c r="BX9" s="15" t="n">
        <f aca="false">BW9+3</f>
        <v>46152</v>
      </c>
      <c r="BY9" s="15" t="n">
        <f aca="false">BX9+2</f>
        <v>46154</v>
      </c>
      <c r="BZ9" s="15" t="n">
        <f aca="false">BY9+2</f>
        <v>46156</v>
      </c>
      <c r="CA9" s="15" t="n">
        <f aca="false">BZ9+3</f>
        <v>46159</v>
      </c>
      <c r="CB9" s="15" t="n">
        <f aca="false">CA9+2</f>
        <v>46161</v>
      </c>
      <c r="CC9" s="15" t="n">
        <f aca="false">CB9+2</f>
        <v>46163</v>
      </c>
      <c r="CD9" s="15" t="n">
        <f aca="false">CC9+3</f>
        <v>46166</v>
      </c>
      <c r="CE9" s="15" t="n">
        <f aca="false">CD9+2</f>
        <v>46168</v>
      </c>
      <c r="CF9" s="15" t="n">
        <f aca="false">CE9+2</f>
        <v>46170</v>
      </c>
      <c r="CG9" s="15" t="n">
        <f aca="false">CF9+3</f>
        <v>46173</v>
      </c>
      <c r="CH9" s="15" t="n">
        <f aca="false">CG9+2</f>
        <v>46175</v>
      </c>
      <c r="CI9" s="15" t="n">
        <f aca="false">CH9+2</f>
        <v>46177</v>
      </c>
      <c r="CJ9" s="15" t="n">
        <f aca="false">CI9+2</f>
        <v>46179</v>
      </c>
      <c r="CK9" s="15" t="n">
        <f aca="false">CJ9+2</f>
        <v>46181</v>
      </c>
    </row>
    <row r="10" customFormat="false" ht="15.75" hidden="false" customHeight="true" outlineLevel="0" collapsed="false">
      <c r="A10" s="19" t="n">
        <v>3</v>
      </c>
      <c r="B10" s="19" t="n">
        <v>25223</v>
      </c>
      <c r="C10" s="34" t="s">
        <v>55</v>
      </c>
      <c r="D10" s="17" t="n">
        <f aca="false">COUNTIF($G10:$CK10,D$9)</f>
        <v>27</v>
      </c>
      <c r="E10" s="17" t="n">
        <f aca="false">COUNTIF($G10:$CK10,E$9)</f>
        <v>26</v>
      </c>
      <c r="F10" s="17" t="n">
        <f aca="false">COUNTIF($G10:$CK10,F$9)</f>
        <v>2</v>
      </c>
      <c r="G10" s="18" t="s">
        <v>10</v>
      </c>
      <c r="H10" s="18" t="s">
        <v>9</v>
      </c>
      <c r="I10" s="18" t="s">
        <v>9</v>
      </c>
      <c r="J10" s="18" t="s">
        <v>56</v>
      </c>
      <c r="K10" s="18" t="s">
        <v>9</v>
      </c>
      <c r="L10" s="18" t="s">
        <v>9</v>
      </c>
      <c r="M10" s="18" t="s">
        <v>9</v>
      </c>
      <c r="N10" s="18" t="s">
        <v>56</v>
      </c>
      <c r="O10" s="18" t="s">
        <v>9</v>
      </c>
      <c r="P10" s="18" t="s">
        <v>9</v>
      </c>
      <c r="Q10" s="18" t="s">
        <v>9</v>
      </c>
      <c r="R10" s="18" t="s">
        <v>56</v>
      </c>
      <c r="S10" s="18" t="s">
        <v>9</v>
      </c>
      <c r="T10" s="18" t="s">
        <v>9</v>
      </c>
      <c r="U10" s="18" t="s">
        <v>56</v>
      </c>
      <c r="V10" s="18" t="s">
        <v>11</v>
      </c>
      <c r="W10" s="18" t="s">
        <v>56</v>
      </c>
      <c r="X10" s="18" t="s">
        <v>9</v>
      </c>
      <c r="Y10" s="18" t="s">
        <v>9</v>
      </c>
      <c r="Z10" s="18" t="s">
        <v>9</v>
      </c>
      <c r="AA10" s="18" t="s">
        <v>9</v>
      </c>
      <c r="AB10" s="18" t="s">
        <v>9</v>
      </c>
      <c r="AC10" s="18" t="s">
        <v>9</v>
      </c>
      <c r="AD10" s="18" t="s">
        <v>9</v>
      </c>
      <c r="AE10" s="18" t="s">
        <v>9</v>
      </c>
      <c r="AF10" s="18" t="s">
        <v>9</v>
      </c>
      <c r="AG10" s="18" t="s">
        <v>9</v>
      </c>
      <c r="AH10" s="18" t="s">
        <v>10</v>
      </c>
      <c r="AI10" s="18" t="s">
        <v>10</v>
      </c>
      <c r="AJ10" s="18" t="s">
        <v>10</v>
      </c>
      <c r="AK10" s="18" t="s">
        <v>56</v>
      </c>
      <c r="AL10" s="18" t="s">
        <v>56</v>
      </c>
      <c r="AM10" s="18" t="s">
        <v>56</v>
      </c>
      <c r="AN10" s="18" t="s">
        <v>10</v>
      </c>
      <c r="AO10" s="18" t="s">
        <v>10</v>
      </c>
      <c r="AP10" s="18" t="s">
        <v>10</v>
      </c>
      <c r="AQ10" s="18" t="s">
        <v>9</v>
      </c>
      <c r="AR10" s="18" t="s">
        <v>10</v>
      </c>
      <c r="AS10" s="18" t="s">
        <v>9</v>
      </c>
      <c r="AT10" s="18" t="s">
        <v>9</v>
      </c>
      <c r="AU10" s="18" t="s">
        <v>9</v>
      </c>
      <c r="AV10" s="18" t="s">
        <v>9</v>
      </c>
      <c r="AW10" s="18" t="s">
        <v>11</v>
      </c>
      <c r="AX10" s="18" t="s">
        <v>9</v>
      </c>
      <c r="AY10" s="18"/>
      <c r="AZ10" s="18" t="s">
        <v>10</v>
      </c>
      <c r="BA10" s="18" t="s">
        <v>56</v>
      </c>
      <c r="BB10" s="18" t="s">
        <v>56</v>
      </c>
      <c r="BC10" s="18" t="s">
        <v>56</v>
      </c>
      <c r="BD10" s="18" t="s">
        <v>56</v>
      </c>
      <c r="BE10" s="18" t="s">
        <v>56</v>
      </c>
      <c r="BF10" s="18" t="s">
        <v>56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56</v>
      </c>
      <c r="BN10" s="18" t="s">
        <v>57</v>
      </c>
      <c r="BO10" s="18" t="s">
        <v>57</v>
      </c>
      <c r="BP10" s="18" t="s">
        <v>57</v>
      </c>
      <c r="BQ10" s="18" t="s">
        <v>57</v>
      </c>
      <c r="BR10" s="18" t="s">
        <v>57</v>
      </c>
      <c r="BS10" s="18" t="s">
        <v>57</v>
      </c>
      <c r="BT10" s="18" t="s">
        <v>56</v>
      </c>
      <c r="BU10" s="18" t="s">
        <v>57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9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56</v>
      </c>
      <c r="CF10" s="18" t="s">
        <v>56</v>
      </c>
      <c r="CG10" s="18" t="s">
        <v>56</v>
      </c>
      <c r="CH10" s="18" t="s">
        <v>56</v>
      </c>
      <c r="CI10" s="18" t="s">
        <v>10</v>
      </c>
      <c r="CJ10" s="18" t="s">
        <v>10</v>
      </c>
      <c r="CK10" s="18" t="s">
        <v>10</v>
      </c>
    </row>
    <row r="11" customFormat="false" ht="15.75" hidden="false" customHeight="true" outlineLevel="0" collapsed="false">
      <c r="A11" s="19" t="n">
        <v>4</v>
      </c>
      <c r="B11" s="19" t="n">
        <v>25224</v>
      </c>
      <c r="C11" s="34" t="s">
        <v>58</v>
      </c>
      <c r="D11" s="17" t="n">
        <f aca="false">COUNTIF($G11:$CK11,D$9)</f>
        <v>29</v>
      </c>
      <c r="E11" s="17" t="n">
        <f aca="false">COUNTIF($G11:$CK11,E$9)</f>
        <v>25</v>
      </c>
      <c r="F11" s="17" t="n">
        <f aca="false">COUNTIF($G11:$CK11,F$9)</f>
        <v>1</v>
      </c>
      <c r="G11" s="18" t="s">
        <v>9</v>
      </c>
      <c r="H11" s="18" t="s">
        <v>9</v>
      </c>
      <c r="I11" s="18" t="s">
        <v>9</v>
      </c>
      <c r="J11" s="18" t="s">
        <v>56</v>
      </c>
      <c r="K11" s="18" t="s">
        <v>9</v>
      </c>
      <c r="L11" s="18" t="s">
        <v>9</v>
      </c>
      <c r="M11" s="18" t="s">
        <v>9</v>
      </c>
      <c r="N11" s="18" t="s">
        <v>56</v>
      </c>
      <c r="O11" s="18" t="s">
        <v>9</v>
      </c>
      <c r="P11" s="18" t="s">
        <v>9</v>
      </c>
      <c r="Q11" s="18" t="s">
        <v>9</v>
      </c>
      <c r="R11" s="18" t="s">
        <v>56</v>
      </c>
      <c r="S11" s="18" t="s">
        <v>9</v>
      </c>
      <c r="T11" s="18" t="s">
        <v>9</v>
      </c>
      <c r="U11" s="18" t="s">
        <v>9</v>
      </c>
      <c r="V11" s="18" t="s">
        <v>9</v>
      </c>
      <c r="W11" s="18" t="s">
        <v>56</v>
      </c>
      <c r="X11" s="18" t="s">
        <v>9</v>
      </c>
      <c r="Y11" s="18" t="s">
        <v>9</v>
      </c>
      <c r="Z11" s="18" t="s">
        <v>9</v>
      </c>
      <c r="AA11" s="18" t="s">
        <v>9</v>
      </c>
      <c r="AB11" s="18" t="s">
        <v>9</v>
      </c>
      <c r="AC11" s="18" t="s">
        <v>9</v>
      </c>
      <c r="AD11" s="18" t="s">
        <v>9</v>
      </c>
      <c r="AE11" s="18" t="s">
        <v>9</v>
      </c>
      <c r="AF11" s="18" t="s">
        <v>9</v>
      </c>
      <c r="AG11" s="18" t="s">
        <v>9</v>
      </c>
      <c r="AH11" s="18" t="s">
        <v>10</v>
      </c>
      <c r="AI11" s="18" t="s">
        <v>10</v>
      </c>
      <c r="AJ11" s="18" t="s">
        <v>10</v>
      </c>
      <c r="AK11" s="18" t="s">
        <v>56</v>
      </c>
      <c r="AL11" s="18" t="s">
        <v>56</v>
      </c>
      <c r="AM11" s="18" t="s">
        <v>56</v>
      </c>
      <c r="AN11" s="18" t="s">
        <v>10</v>
      </c>
      <c r="AO11" s="18" t="s">
        <v>10</v>
      </c>
      <c r="AP11" s="18" t="s">
        <v>10</v>
      </c>
      <c r="AQ11" s="18" t="s">
        <v>9</v>
      </c>
      <c r="AR11" s="18" t="s">
        <v>10</v>
      </c>
      <c r="AS11" s="18" t="s">
        <v>10</v>
      </c>
      <c r="AT11" s="18" t="s">
        <v>9</v>
      </c>
      <c r="AU11" s="18" t="s">
        <v>9</v>
      </c>
      <c r="AV11" s="18" t="s">
        <v>9</v>
      </c>
      <c r="AW11" s="18" t="s">
        <v>11</v>
      </c>
      <c r="AX11" s="18" t="s">
        <v>9</v>
      </c>
      <c r="AY11" s="18"/>
      <c r="AZ11" s="18" t="s">
        <v>10</v>
      </c>
      <c r="BA11" s="18" t="s">
        <v>56</v>
      </c>
      <c r="BB11" s="18" t="s">
        <v>56</v>
      </c>
      <c r="BC11" s="18" t="s">
        <v>56</v>
      </c>
      <c r="BD11" s="18" t="s">
        <v>56</v>
      </c>
      <c r="BE11" s="18" t="s">
        <v>56</v>
      </c>
      <c r="BF11" s="18" t="s">
        <v>56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56</v>
      </c>
      <c r="BN11" s="18" t="s">
        <v>57</v>
      </c>
      <c r="BO11" s="18" t="s">
        <v>57</v>
      </c>
      <c r="BP11" s="18"/>
      <c r="BQ11" s="18"/>
      <c r="BR11" s="18"/>
      <c r="BS11" s="18"/>
      <c r="BT11" s="18" t="s">
        <v>56</v>
      </c>
      <c r="BU11" s="18" t="s">
        <v>57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9</v>
      </c>
      <c r="CA11" s="18" t="s">
        <v>10</v>
      </c>
      <c r="CB11" s="18" t="s">
        <v>10</v>
      </c>
      <c r="CC11" s="18" t="s">
        <v>10</v>
      </c>
      <c r="CD11" s="18"/>
      <c r="CE11" s="18"/>
      <c r="CF11" s="18"/>
      <c r="CG11" s="18"/>
      <c r="CH11" s="18" t="s">
        <v>56</v>
      </c>
      <c r="CI11" s="18" t="s">
        <v>10</v>
      </c>
      <c r="CJ11" s="18" t="s">
        <v>10</v>
      </c>
      <c r="CK11" s="18" t="s">
        <v>10</v>
      </c>
    </row>
    <row r="12" customFormat="false" ht="15.75" hidden="false" customHeight="true" outlineLevel="0" collapsed="false">
      <c r="A12" s="19" t="n">
        <v>6</v>
      </c>
      <c r="B12" s="19" t="n">
        <v>25226</v>
      </c>
      <c r="C12" s="34" t="s">
        <v>59</v>
      </c>
      <c r="D12" s="17" t="n">
        <f aca="false">COUNTIF($G12:$CK12,D$9)</f>
        <v>23</v>
      </c>
      <c r="E12" s="17" t="n">
        <f aca="false">COUNTIF($G12:$CK12,E$9)</f>
        <v>26</v>
      </c>
      <c r="F12" s="17" t="n">
        <f aca="false">COUNTIF($G12:$CK12,F$9)</f>
        <v>2</v>
      </c>
      <c r="G12" s="18" t="s">
        <v>9</v>
      </c>
      <c r="H12" s="18" t="s">
        <v>9</v>
      </c>
      <c r="I12" s="18" t="s">
        <v>9</v>
      </c>
      <c r="J12" s="18" t="s">
        <v>56</v>
      </c>
      <c r="K12" s="18" t="s">
        <v>9</v>
      </c>
      <c r="L12" s="18" t="s">
        <v>9</v>
      </c>
      <c r="M12" s="18" t="s">
        <v>9</v>
      </c>
      <c r="N12" s="18" t="s">
        <v>56</v>
      </c>
      <c r="O12" s="18" t="s">
        <v>9</v>
      </c>
      <c r="P12" s="18" t="s">
        <v>9</v>
      </c>
      <c r="Q12" s="18" t="s">
        <v>9</v>
      </c>
      <c r="R12" s="18" t="s">
        <v>56</v>
      </c>
      <c r="S12" s="18" t="s">
        <v>9</v>
      </c>
      <c r="T12" s="18" t="s">
        <v>9</v>
      </c>
      <c r="U12" s="18" t="s">
        <v>9</v>
      </c>
      <c r="V12" s="18" t="s">
        <v>9</v>
      </c>
      <c r="W12" s="18" t="s">
        <v>56</v>
      </c>
      <c r="X12" s="18" t="s">
        <v>9</v>
      </c>
      <c r="Y12" s="18" t="s">
        <v>9</v>
      </c>
      <c r="Z12" s="18" t="s">
        <v>9</v>
      </c>
      <c r="AA12" s="18" t="s">
        <v>9</v>
      </c>
      <c r="AB12" s="18" t="s">
        <v>9</v>
      </c>
      <c r="AC12" s="18" t="s">
        <v>9</v>
      </c>
      <c r="AD12" s="18" t="s">
        <v>9</v>
      </c>
      <c r="AE12" s="18" t="s">
        <v>9</v>
      </c>
      <c r="AF12" s="18" t="s">
        <v>9</v>
      </c>
      <c r="AG12" s="18" t="s">
        <v>9</v>
      </c>
      <c r="AH12" s="18" t="s">
        <v>11</v>
      </c>
      <c r="AI12" s="18" t="s">
        <v>11</v>
      </c>
      <c r="AJ12" s="18" t="s">
        <v>10</v>
      </c>
      <c r="AK12" s="18" t="s">
        <v>56</v>
      </c>
      <c r="AL12" s="18" t="s">
        <v>56</v>
      </c>
      <c r="AM12" s="18" t="s">
        <v>56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56</v>
      </c>
      <c r="AZ12" s="18" t="s">
        <v>10</v>
      </c>
      <c r="BA12" s="18" t="s">
        <v>56</v>
      </c>
      <c r="BB12" s="18" t="s">
        <v>56</v>
      </c>
      <c r="BC12" s="18" t="s">
        <v>56</v>
      </c>
      <c r="BD12" s="18" t="s">
        <v>56</v>
      </c>
      <c r="BE12" s="18" t="s">
        <v>56</v>
      </c>
      <c r="BF12" s="18" t="s">
        <v>56</v>
      </c>
      <c r="BG12" s="18" t="s">
        <v>57</v>
      </c>
      <c r="BH12" s="18" t="s">
        <v>57</v>
      </c>
      <c r="BI12" s="18" t="s">
        <v>57</v>
      </c>
      <c r="BJ12" s="18" t="s">
        <v>57</v>
      </c>
      <c r="BK12" s="18" t="s">
        <v>57</v>
      </c>
      <c r="BL12" s="18" t="s">
        <v>57</v>
      </c>
      <c r="BM12" s="18" t="s">
        <v>56</v>
      </c>
      <c r="BN12" s="18" t="s">
        <v>10</v>
      </c>
      <c r="BO12" s="18" t="s">
        <v>57</v>
      </c>
      <c r="BP12" s="18"/>
      <c r="BQ12" s="18"/>
      <c r="BR12" s="18"/>
      <c r="BS12" s="18"/>
      <c r="BT12" s="18" t="s">
        <v>56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/>
      <c r="CE12" s="18"/>
      <c r="CF12" s="18"/>
      <c r="CG12" s="18"/>
      <c r="CH12" s="18" t="s">
        <v>56</v>
      </c>
      <c r="CI12" s="18" t="s">
        <v>10</v>
      </c>
      <c r="CJ12" s="18" t="s">
        <v>10</v>
      </c>
      <c r="CK12" s="18" t="s">
        <v>10</v>
      </c>
    </row>
    <row r="13" customFormat="false" ht="15.75" hidden="false" customHeight="true" outlineLevel="0" collapsed="false">
      <c r="A13" s="19" t="n">
        <v>7</v>
      </c>
      <c r="B13" s="19" t="n">
        <v>25228</v>
      </c>
      <c r="C13" s="34" t="s">
        <v>60</v>
      </c>
      <c r="D13" s="17" t="n">
        <f aca="false">COUNTIF($G13:$CK13,D$9)</f>
        <v>54</v>
      </c>
      <c r="E13" s="17" t="n">
        <f aca="false">COUNTIF($G13:$CK13,E$9)</f>
        <v>5</v>
      </c>
      <c r="F13" s="17" t="n">
        <f aca="false">COUNTIF($G13:$CK13,F$9)</f>
        <v>2</v>
      </c>
      <c r="G13" s="18" t="s">
        <v>9</v>
      </c>
      <c r="H13" s="18" t="s">
        <v>9</v>
      </c>
      <c r="I13" s="18"/>
      <c r="J13" s="18" t="s">
        <v>56</v>
      </c>
      <c r="K13" s="18" t="s">
        <v>9</v>
      </c>
      <c r="L13" s="18" t="s">
        <v>9</v>
      </c>
      <c r="M13" s="18" t="s">
        <v>9</v>
      </c>
      <c r="N13" s="18" t="s">
        <v>56</v>
      </c>
      <c r="O13" s="18" t="s">
        <v>9</v>
      </c>
      <c r="P13" s="18" t="s">
        <v>9</v>
      </c>
      <c r="Q13" s="18" t="s">
        <v>9</v>
      </c>
      <c r="R13" s="18" t="s">
        <v>56</v>
      </c>
      <c r="S13" s="18" t="s">
        <v>9</v>
      </c>
      <c r="T13" s="18" t="s">
        <v>9</v>
      </c>
      <c r="U13" s="18" t="s">
        <v>9</v>
      </c>
      <c r="V13" s="18" t="s">
        <v>9</v>
      </c>
      <c r="W13" s="18" t="s">
        <v>56</v>
      </c>
      <c r="X13" s="18" t="s">
        <v>9</v>
      </c>
      <c r="Y13" s="18" t="s">
        <v>9</v>
      </c>
      <c r="Z13" s="18" t="s">
        <v>9</v>
      </c>
      <c r="AA13" s="18" t="s">
        <v>9</v>
      </c>
      <c r="AB13" s="18" t="s">
        <v>9</v>
      </c>
      <c r="AC13" s="18" t="s">
        <v>9</v>
      </c>
      <c r="AD13" s="18" t="s">
        <v>9</v>
      </c>
      <c r="AE13" s="18" t="s">
        <v>9</v>
      </c>
      <c r="AF13" s="18" t="s">
        <v>9</v>
      </c>
      <c r="AG13" s="18" t="s">
        <v>9</v>
      </c>
      <c r="AH13" s="18" t="s">
        <v>10</v>
      </c>
      <c r="AI13" s="18" t="s">
        <v>10</v>
      </c>
      <c r="AJ13" s="18" t="s">
        <v>10</v>
      </c>
      <c r="AK13" s="18" t="s">
        <v>56</v>
      </c>
      <c r="AL13" s="18" t="s">
        <v>56</v>
      </c>
      <c r="AM13" s="18" t="s">
        <v>56</v>
      </c>
      <c r="AN13" s="18" t="s">
        <v>9</v>
      </c>
      <c r="AO13" s="18" t="s">
        <v>9</v>
      </c>
      <c r="AP13" s="18" t="s">
        <v>9</v>
      </c>
      <c r="AQ13" s="18" t="s">
        <v>9</v>
      </c>
      <c r="AR13" s="18" t="s">
        <v>9</v>
      </c>
      <c r="AS13" s="18" t="s">
        <v>10</v>
      </c>
      <c r="AT13" s="18" t="s">
        <v>9</v>
      </c>
      <c r="AU13" s="18" t="s">
        <v>9</v>
      </c>
      <c r="AV13" s="18" t="s">
        <v>9</v>
      </c>
      <c r="AW13" s="18" t="s">
        <v>9</v>
      </c>
      <c r="AX13" s="18" t="s">
        <v>9</v>
      </c>
      <c r="AY13" s="18" t="s">
        <v>56</v>
      </c>
      <c r="AZ13" s="18" t="s">
        <v>9</v>
      </c>
      <c r="BA13" s="18" t="s">
        <v>56</v>
      </c>
      <c r="BB13" s="18" t="s">
        <v>56</v>
      </c>
      <c r="BC13" s="18" t="s">
        <v>56</v>
      </c>
      <c r="BD13" s="18" t="s">
        <v>56</v>
      </c>
      <c r="BE13" s="18" t="s">
        <v>56</v>
      </c>
      <c r="BF13" s="18" t="s">
        <v>56</v>
      </c>
      <c r="BG13" s="18" t="s">
        <v>9</v>
      </c>
      <c r="BH13" s="18" t="s">
        <v>9</v>
      </c>
      <c r="BI13" s="18" t="s">
        <v>9</v>
      </c>
      <c r="BJ13" s="18" t="s">
        <v>9</v>
      </c>
      <c r="BK13" s="18" t="s">
        <v>9</v>
      </c>
      <c r="BL13" s="18" t="s">
        <v>9</v>
      </c>
      <c r="BM13" s="18" t="s">
        <v>56</v>
      </c>
      <c r="BN13" s="18" t="s">
        <v>11</v>
      </c>
      <c r="BO13" s="18" t="s">
        <v>9</v>
      </c>
      <c r="BP13" s="18" t="s">
        <v>9</v>
      </c>
      <c r="BQ13" s="18" t="s">
        <v>9</v>
      </c>
      <c r="BR13" s="18" t="s">
        <v>9</v>
      </c>
      <c r="BS13" s="18" t="s">
        <v>9</v>
      </c>
      <c r="BT13" s="18" t="s">
        <v>56</v>
      </c>
      <c r="BU13" s="18" t="s">
        <v>9</v>
      </c>
      <c r="BV13" s="18" t="s">
        <v>9</v>
      </c>
      <c r="BW13" s="18" t="s">
        <v>9</v>
      </c>
      <c r="BX13" s="18" t="s">
        <v>9</v>
      </c>
      <c r="BY13" s="18" t="s">
        <v>9</v>
      </c>
      <c r="BZ13" s="18" t="s">
        <v>11</v>
      </c>
      <c r="CA13" s="18" t="s">
        <v>9</v>
      </c>
      <c r="CB13" s="18" t="s">
        <v>9</v>
      </c>
      <c r="CC13" s="18" t="s">
        <v>9</v>
      </c>
      <c r="CD13" s="18"/>
      <c r="CE13" s="18"/>
      <c r="CF13" s="18"/>
      <c r="CG13" s="18"/>
      <c r="CH13" s="18" t="s">
        <v>56</v>
      </c>
      <c r="CI13" s="18" t="s">
        <v>9</v>
      </c>
      <c r="CJ13" s="18" t="s">
        <v>9</v>
      </c>
      <c r="CK13" s="18" t="s">
        <v>10</v>
      </c>
    </row>
    <row r="14" customFormat="false" ht="15.75" hidden="false" customHeight="true" outlineLevel="0" collapsed="false">
      <c r="A14" s="19" t="n">
        <v>8</v>
      </c>
      <c r="B14" s="19" t="n">
        <v>25229</v>
      </c>
      <c r="C14" s="34" t="s">
        <v>61</v>
      </c>
      <c r="D14" s="17" t="n">
        <f aca="false">COUNTIF($G14:$CK14,D$9)</f>
        <v>54</v>
      </c>
      <c r="E14" s="17" t="n">
        <f aca="false">COUNTIF($G14:$CK14,E$9)</f>
        <v>7</v>
      </c>
      <c r="F14" s="17" t="n">
        <f aca="false">COUNTIF($G14:$CK14,F$9)</f>
        <v>0</v>
      </c>
      <c r="G14" s="18" t="s">
        <v>9</v>
      </c>
      <c r="H14" s="18" t="s">
        <v>9</v>
      </c>
      <c r="I14" s="18"/>
      <c r="J14" s="18" t="s">
        <v>56</v>
      </c>
      <c r="K14" s="18" t="s">
        <v>10</v>
      </c>
      <c r="L14" s="18" t="s">
        <v>9</v>
      </c>
      <c r="M14" s="18" t="s">
        <v>9</v>
      </c>
      <c r="N14" s="18" t="s">
        <v>56</v>
      </c>
      <c r="O14" s="18" t="s">
        <v>9</v>
      </c>
      <c r="P14" s="18" t="s">
        <v>9</v>
      </c>
      <c r="Q14" s="18" t="s">
        <v>9</v>
      </c>
      <c r="R14" s="18" t="s">
        <v>56</v>
      </c>
      <c r="S14" s="18" t="s">
        <v>9</v>
      </c>
      <c r="T14" s="18" t="s">
        <v>9</v>
      </c>
      <c r="U14" s="18" t="s">
        <v>9</v>
      </c>
      <c r="V14" s="18" t="s">
        <v>9</v>
      </c>
      <c r="W14" s="18" t="s">
        <v>56</v>
      </c>
      <c r="X14" s="18" t="s">
        <v>9</v>
      </c>
      <c r="Y14" s="18" t="s">
        <v>9</v>
      </c>
      <c r="Z14" s="18" t="s">
        <v>9</v>
      </c>
      <c r="AA14" s="18" t="s">
        <v>9</v>
      </c>
      <c r="AB14" s="18" t="s">
        <v>9</v>
      </c>
      <c r="AC14" s="18" t="s">
        <v>9</v>
      </c>
      <c r="AD14" s="18" t="s">
        <v>9</v>
      </c>
      <c r="AE14" s="18" t="s">
        <v>9</v>
      </c>
      <c r="AF14" s="18" t="s">
        <v>9</v>
      </c>
      <c r="AG14" s="18" t="s">
        <v>9</v>
      </c>
      <c r="AH14" s="18" t="s">
        <v>10</v>
      </c>
      <c r="AI14" s="18" t="s">
        <v>10</v>
      </c>
      <c r="AJ14" s="18" t="s">
        <v>10</v>
      </c>
      <c r="AK14" s="18" t="s">
        <v>56</v>
      </c>
      <c r="AL14" s="18" t="s">
        <v>56</v>
      </c>
      <c r="AM14" s="18" t="s">
        <v>56</v>
      </c>
      <c r="AN14" s="18" t="s">
        <v>9</v>
      </c>
      <c r="AO14" s="18" t="s">
        <v>9</v>
      </c>
      <c r="AP14" s="18" t="s">
        <v>9</v>
      </c>
      <c r="AQ14" s="18" t="s">
        <v>9</v>
      </c>
      <c r="AR14" s="18" t="s">
        <v>9</v>
      </c>
      <c r="AS14" s="18" t="s">
        <v>9</v>
      </c>
      <c r="AT14" s="18" t="s">
        <v>9</v>
      </c>
      <c r="AU14" s="18" t="s">
        <v>9</v>
      </c>
      <c r="AV14" s="18" t="s">
        <v>9</v>
      </c>
      <c r="AW14" s="18" t="s">
        <v>9</v>
      </c>
      <c r="AX14" s="18" t="s">
        <v>9</v>
      </c>
      <c r="AY14" s="18" t="s">
        <v>56</v>
      </c>
      <c r="AZ14" s="18" t="s">
        <v>10</v>
      </c>
      <c r="BA14" s="18" t="s">
        <v>56</v>
      </c>
      <c r="BB14" s="18" t="s">
        <v>56</v>
      </c>
      <c r="BC14" s="18" t="s">
        <v>56</v>
      </c>
      <c r="BD14" s="18" t="s">
        <v>56</v>
      </c>
      <c r="BE14" s="18" t="s">
        <v>56</v>
      </c>
      <c r="BF14" s="18" t="s">
        <v>56</v>
      </c>
      <c r="BG14" s="18" t="s">
        <v>9</v>
      </c>
      <c r="BH14" s="18" t="s">
        <v>9</v>
      </c>
      <c r="BI14" s="18" t="s">
        <v>9</v>
      </c>
      <c r="BJ14" s="18" t="s">
        <v>9</v>
      </c>
      <c r="BK14" s="18" t="s">
        <v>9</v>
      </c>
      <c r="BL14" s="18" t="s">
        <v>9</v>
      </c>
      <c r="BM14" s="18" t="s">
        <v>56</v>
      </c>
      <c r="BN14" s="18" t="s">
        <v>9</v>
      </c>
      <c r="BO14" s="18" t="s">
        <v>9</v>
      </c>
      <c r="BP14" s="18" t="s">
        <v>9</v>
      </c>
      <c r="BQ14" s="18" t="s">
        <v>9</v>
      </c>
      <c r="BR14" s="18" t="s">
        <v>9</v>
      </c>
      <c r="BS14" s="18" t="s">
        <v>9</v>
      </c>
      <c r="BT14" s="18" t="s">
        <v>56</v>
      </c>
      <c r="BU14" s="18" t="s">
        <v>9</v>
      </c>
      <c r="BV14" s="18" t="s">
        <v>9</v>
      </c>
      <c r="BW14" s="18" t="s">
        <v>9</v>
      </c>
      <c r="BX14" s="18" t="s">
        <v>9</v>
      </c>
      <c r="BY14" s="18" t="s">
        <v>10</v>
      </c>
      <c r="BZ14" s="18" t="s">
        <v>9</v>
      </c>
      <c r="CA14" s="18" t="s">
        <v>9</v>
      </c>
      <c r="CB14" s="18" t="s">
        <v>9</v>
      </c>
      <c r="CC14" s="18" t="s">
        <v>9</v>
      </c>
      <c r="CD14" s="18"/>
      <c r="CE14" s="18"/>
      <c r="CF14" s="18"/>
      <c r="CG14" s="18"/>
      <c r="CH14" s="18" t="s">
        <v>56</v>
      </c>
      <c r="CI14" s="18" t="s">
        <v>9</v>
      </c>
      <c r="CJ14" s="18" t="s">
        <v>9</v>
      </c>
      <c r="CK14" s="18" t="s">
        <v>10</v>
      </c>
    </row>
    <row r="15" customFormat="false" ht="15.75" hidden="false" customHeight="true" outlineLevel="0" collapsed="false">
      <c r="A15" s="19" t="n">
        <v>9</v>
      </c>
      <c r="B15" s="19" t="n">
        <v>25181</v>
      </c>
      <c r="C15" s="34" t="s">
        <v>62</v>
      </c>
      <c r="D15" s="17" t="n">
        <f aca="false">COUNTIF($G15:$CK15,D$9)</f>
        <v>48</v>
      </c>
      <c r="E15" s="17" t="n">
        <f aca="false">COUNTIF($G15:$CK15,E$9)</f>
        <v>10</v>
      </c>
      <c r="F15" s="17" t="n">
        <f aca="false">COUNTIF($G15:$CK15,F$9)</f>
        <v>3</v>
      </c>
      <c r="G15" s="18" t="s">
        <v>9</v>
      </c>
      <c r="H15" s="18" t="s">
        <v>9</v>
      </c>
      <c r="I15" s="18"/>
      <c r="J15" s="18" t="s">
        <v>56</v>
      </c>
      <c r="K15" s="18" t="s">
        <v>9</v>
      </c>
      <c r="L15" s="18" t="s">
        <v>9</v>
      </c>
      <c r="M15" s="18" t="s">
        <v>9</v>
      </c>
      <c r="N15" s="18" t="s">
        <v>56</v>
      </c>
      <c r="O15" s="18" t="s">
        <v>9</v>
      </c>
      <c r="P15" s="18" t="s">
        <v>9</v>
      </c>
      <c r="Q15" s="18" t="s">
        <v>9</v>
      </c>
      <c r="R15" s="18" t="s">
        <v>56</v>
      </c>
      <c r="S15" s="18" t="s">
        <v>9</v>
      </c>
      <c r="T15" s="18" t="s">
        <v>9</v>
      </c>
      <c r="U15" s="18" t="s">
        <v>9</v>
      </c>
      <c r="V15" s="18" t="s">
        <v>9</v>
      </c>
      <c r="W15" s="18" t="s">
        <v>56</v>
      </c>
      <c r="X15" s="18" t="s">
        <v>9</v>
      </c>
      <c r="Y15" s="18" t="s">
        <v>9</v>
      </c>
      <c r="Z15" s="18" t="s">
        <v>9</v>
      </c>
      <c r="AA15" s="18" t="s">
        <v>9</v>
      </c>
      <c r="AB15" s="18" t="s">
        <v>9</v>
      </c>
      <c r="AC15" s="18" t="s">
        <v>9</v>
      </c>
      <c r="AD15" s="18" t="s">
        <v>9</v>
      </c>
      <c r="AE15" s="18" t="s">
        <v>9</v>
      </c>
      <c r="AF15" s="18" t="s">
        <v>9</v>
      </c>
      <c r="AG15" s="18" t="s">
        <v>9</v>
      </c>
      <c r="AH15" s="18" t="s">
        <v>10</v>
      </c>
      <c r="AI15" s="18" t="s">
        <v>10</v>
      </c>
      <c r="AJ15" s="18" t="s">
        <v>10</v>
      </c>
      <c r="AK15" s="18" t="s">
        <v>56</v>
      </c>
      <c r="AL15" s="18" t="s">
        <v>56</v>
      </c>
      <c r="AM15" s="18" t="s">
        <v>56</v>
      </c>
      <c r="AN15" s="18" t="s">
        <v>10</v>
      </c>
      <c r="AO15" s="18" t="s">
        <v>9</v>
      </c>
      <c r="AP15" s="18" t="s">
        <v>9</v>
      </c>
      <c r="AQ15" s="18" t="s">
        <v>11</v>
      </c>
      <c r="AR15" s="18" t="s">
        <v>9</v>
      </c>
      <c r="AS15" s="18" t="s">
        <v>10</v>
      </c>
      <c r="AT15" s="18" t="s">
        <v>9</v>
      </c>
      <c r="AU15" s="18" t="s">
        <v>9</v>
      </c>
      <c r="AV15" s="18" t="s">
        <v>10</v>
      </c>
      <c r="AW15" s="18" t="s">
        <v>9</v>
      </c>
      <c r="AX15" s="18" t="s">
        <v>9</v>
      </c>
      <c r="AY15" s="18" t="s">
        <v>56</v>
      </c>
      <c r="AZ15" s="18" t="s">
        <v>10</v>
      </c>
      <c r="BA15" s="18" t="s">
        <v>56</v>
      </c>
      <c r="BB15" s="18" t="s">
        <v>56</v>
      </c>
      <c r="BC15" s="18" t="s">
        <v>56</v>
      </c>
      <c r="BD15" s="18" t="s">
        <v>56</v>
      </c>
      <c r="BE15" s="18" t="s">
        <v>56</v>
      </c>
      <c r="BF15" s="18" t="s">
        <v>56</v>
      </c>
      <c r="BG15" s="18" t="s">
        <v>9</v>
      </c>
      <c r="BH15" s="18" t="s">
        <v>11</v>
      </c>
      <c r="BI15" s="18" t="s">
        <v>10</v>
      </c>
      <c r="BJ15" s="18" t="s">
        <v>9</v>
      </c>
      <c r="BK15" s="18" t="s">
        <v>9</v>
      </c>
      <c r="BL15" s="18" t="s">
        <v>9</v>
      </c>
      <c r="BM15" s="18" t="s">
        <v>56</v>
      </c>
      <c r="BN15" s="18" t="s">
        <v>10</v>
      </c>
      <c r="BO15" s="18" t="s">
        <v>9</v>
      </c>
      <c r="BP15" s="18" t="s">
        <v>9</v>
      </c>
      <c r="BQ15" s="18" t="s">
        <v>9</v>
      </c>
      <c r="BR15" s="18" t="s">
        <v>11</v>
      </c>
      <c r="BS15" s="18" t="s">
        <v>9</v>
      </c>
      <c r="BT15" s="18" t="s">
        <v>56</v>
      </c>
      <c r="BU15" s="18" t="s">
        <v>9</v>
      </c>
      <c r="BV15" s="18" t="s">
        <v>9</v>
      </c>
      <c r="BW15" s="18" t="s">
        <v>10</v>
      </c>
      <c r="BX15" s="18" t="s">
        <v>9</v>
      </c>
      <c r="BY15" s="18" t="s">
        <v>9</v>
      </c>
      <c r="BZ15" s="18" t="s">
        <v>9</v>
      </c>
      <c r="CA15" s="18" t="s">
        <v>9</v>
      </c>
      <c r="CB15" s="18" t="s">
        <v>9</v>
      </c>
      <c r="CC15" s="18" t="s">
        <v>9</v>
      </c>
      <c r="CD15" s="18"/>
      <c r="CE15" s="18"/>
      <c r="CF15" s="18"/>
      <c r="CG15" s="18"/>
      <c r="CH15" s="18" t="s">
        <v>56</v>
      </c>
      <c r="CI15" s="18" t="s">
        <v>9</v>
      </c>
      <c r="CJ15" s="18" t="s">
        <v>9</v>
      </c>
      <c r="CK15" s="18" t="s">
        <v>9</v>
      </c>
    </row>
    <row r="16" customFormat="false" ht="15.75" hidden="false" customHeight="true" outlineLevel="0" collapsed="false">
      <c r="A16" s="19" t="n">
        <v>10</v>
      </c>
      <c r="B16" s="17"/>
      <c r="C16" s="34" t="s">
        <v>63</v>
      </c>
      <c r="D16" s="17" t="n">
        <f aca="false">COUNTIF($G16:$CK16,D$9)</f>
        <v>52</v>
      </c>
      <c r="E16" s="17" t="n">
        <f aca="false">COUNTIF($G16:$CK16,E$9)</f>
        <v>7</v>
      </c>
      <c r="F16" s="17" t="n">
        <f aca="false">COUNTIF($G16:$CK16,F$9)</f>
        <v>2</v>
      </c>
      <c r="G16" s="18" t="s">
        <v>9</v>
      </c>
      <c r="H16" s="18" t="s">
        <v>9</v>
      </c>
      <c r="I16" s="18"/>
      <c r="J16" s="18" t="s">
        <v>56</v>
      </c>
      <c r="K16" s="18" t="s">
        <v>9</v>
      </c>
      <c r="L16" s="18" t="s">
        <v>9</v>
      </c>
      <c r="M16" s="18" t="s">
        <v>9</v>
      </c>
      <c r="N16" s="18" t="s">
        <v>56</v>
      </c>
      <c r="O16" s="18" t="s">
        <v>10</v>
      </c>
      <c r="P16" s="18" t="s">
        <v>9</v>
      </c>
      <c r="Q16" s="18" t="s">
        <v>9</v>
      </c>
      <c r="R16" s="18" t="s">
        <v>56</v>
      </c>
      <c r="S16" s="18" t="s">
        <v>11</v>
      </c>
      <c r="T16" s="18" t="s">
        <v>9</v>
      </c>
      <c r="U16" s="18" t="s">
        <v>9</v>
      </c>
      <c r="V16" s="18" t="s">
        <v>9</v>
      </c>
      <c r="W16" s="18" t="s">
        <v>56</v>
      </c>
      <c r="X16" s="18" t="s">
        <v>9</v>
      </c>
      <c r="Y16" s="18" t="s">
        <v>9</v>
      </c>
      <c r="Z16" s="18" t="s">
        <v>9</v>
      </c>
      <c r="AA16" s="18" t="s">
        <v>9</v>
      </c>
      <c r="AB16" s="18" t="s">
        <v>9</v>
      </c>
      <c r="AC16" s="18" t="s">
        <v>9</v>
      </c>
      <c r="AD16" s="18" t="s">
        <v>9</v>
      </c>
      <c r="AE16" s="18" t="s">
        <v>9</v>
      </c>
      <c r="AF16" s="18" t="s">
        <v>9</v>
      </c>
      <c r="AG16" s="18" t="s">
        <v>9</v>
      </c>
      <c r="AH16" s="18" t="s">
        <v>10</v>
      </c>
      <c r="AI16" s="18" t="s">
        <v>10</v>
      </c>
      <c r="AJ16" s="18" t="s">
        <v>10</v>
      </c>
      <c r="AK16" s="18" t="s">
        <v>56</v>
      </c>
      <c r="AL16" s="18" t="s">
        <v>56</v>
      </c>
      <c r="AM16" s="18" t="s">
        <v>56</v>
      </c>
      <c r="AN16" s="18" t="s">
        <v>10</v>
      </c>
      <c r="AO16" s="18" t="s">
        <v>9</v>
      </c>
      <c r="AP16" s="18" t="s">
        <v>9</v>
      </c>
      <c r="AQ16" s="18" t="s">
        <v>9</v>
      </c>
      <c r="AR16" s="18" t="s">
        <v>9</v>
      </c>
      <c r="AS16" s="18" t="s">
        <v>9</v>
      </c>
      <c r="AT16" s="18" t="s">
        <v>9</v>
      </c>
      <c r="AU16" s="18" t="s">
        <v>9</v>
      </c>
      <c r="AV16" s="18" t="s">
        <v>9</v>
      </c>
      <c r="AW16" s="18" t="s">
        <v>11</v>
      </c>
      <c r="AX16" s="18" t="s">
        <v>9</v>
      </c>
      <c r="AY16" s="18" t="s">
        <v>56</v>
      </c>
      <c r="AZ16" s="18" t="s">
        <v>9</v>
      </c>
      <c r="BA16" s="18" t="s">
        <v>56</v>
      </c>
      <c r="BB16" s="18" t="s">
        <v>56</v>
      </c>
      <c r="BC16" s="18" t="s">
        <v>56</v>
      </c>
      <c r="BD16" s="18" t="s">
        <v>56</v>
      </c>
      <c r="BE16" s="18" t="s">
        <v>56</v>
      </c>
      <c r="BF16" s="18" t="s">
        <v>56</v>
      </c>
      <c r="BG16" s="18" t="s">
        <v>10</v>
      </c>
      <c r="BH16" s="18" t="s">
        <v>9</v>
      </c>
      <c r="BI16" s="18" t="s">
        <v>9</v>
      </c>
      <c r="BJ16" s="18" t="s">
        <v>9</v>
      </c>
      <c r="BK16" s="18" t="s">
        <v>9</v>
      </c>
      <c r="BL16" s="18" t="s">
        <v>9</v>
      </c>
      <c r="BM16" s="18" t="s">
        <v>56</v>
      </c>
      <c r="BN16" s="18" t="s">
        <v>9</v>
      </c>
      <c r="BO16" s="18" t="s">
        <v>9</v>
      </c>
      <c r="BP16" s="18" t="s">
        <v>9</v>
      </c>
      <c r="BQ16" s="18" t="s">
        <v>9</v>
      </c>
      <c r="BR16" s="18" t="s">
        <v>9</v>
      </c>
      <c r="BS16" s="18" t="s">
        <v>9</v>
      </c>
      <c r="BT16" s="18" t="s">
        <v>56</v>
      </c>
      <c r="BU16" s="18" t="s">
        <v>9</v>
      </c>
      <c r="BV16" s="18" t="s">
        <v>9</v>
      </c>
      <c r="BW16" s="18" t="s">
        <v>9</v>
      </c>
      <c r="BX16" s="18" t="s">
        <v>9</v>
      </c>
      <c r="BY16" s="18" t="s">
        <v>9</v>
      </c>
      <c r="BZ16" s="18" t="s">
        <v>10</v>
      </c>
      <c r="CA16" s="18" t="s">
        <v>9</v>
      </c>
      <c r="CB16" s="18" t="s">
        <v>9</v>
      </c>
      <c r="CC16" s="18" t="s">
        <v>9</v>
      </c>
      <c r="CD16" s="18"/>
      <c r="CE16" s="18"/>
      <c r="CF16" s="18"/>
      <c r="CG16" s="18"/>
      <c r="CH16" s="18" t="s">
        <v>56</v>
      </c>
      <c r="CI16" s="18" t="s">
        <v>9</v>
      </c>
      <c r="CJ16" s="18" t="s">
        <v>9</v>
      </c>
      <c r="CK16" s="18" t="s">
        <v>9</v>
      </c>
    </row>
    <row r="17" customFormat="false" ht="15.75" hidden="false" customHeight="true" outlineLevel="0" collapsed="false">
      <c r="A17" s="19" t="n">
        <v>11</v>
      </c>
      <c r="B17" s="17"/>
      <c r="C17" s="34" t="s">
        <v>64</v>
      </c>
      <c r="D17" s="17" t="n">
        <f aca="false">COUNTIF($G17:$CK17,D$9)</f>
        <v>10</v>
      </c>
      <c r="E17" s="17" t="n">
        <f aca="false">COUNTIF($G17:$CK17,E$9)</f>
        <v>28</v>
      </c>
      <c r="F17" s="17" t="n">
        <f aca="false">COUNTIF($G17:$CK17,F$9)</f>
        <v>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 t="s">
        <v>10</v>
      </c>
      <c r="AJ17" s="18" t="s">
        <v>10</v>
      </c>
      <c r="AK17" s="18" t="s">
        <v>56</v>
      </c>
      <c r="AL17" s="18" t="s">
        <v>56</v>
      </c>
      <c r="AM17" s="18" t="s">
        <v>56</v>
      </c>
      <c r="AN17" s="18" t="s">
        <v>10</v>
      </c>
      <c r="AO17" s="18" t="s">
        <v>9</v>
      </c>
      <c r="AP17" s="18" t="s">
        <v>10</v>
      </c>
      <c r="AQ17" s="18" t="s">
        <v>9</v>
      </c>
      <c r="AR17" s="18" t="s">
        <v>9</v>
      </c>
      <c r="AS17" s="18" t="s">
        <v>10</v>
      </c>
      <c r="AT17" s="18" t="s">
        <v>10</v>
      </c>
      <c r="AU17" s="18" t="s">
        <v>9</v>
      </c>
      <c r="AV17" s="18" t="s">
        <v>9</v>
      </c>
      <c r="AW17" s="18" t="s">
        <v>10</v>
      </c>
      <c r="AX17" s="18" t="s">
        <v>10</v>
      </c>
      <c r="AY17" s="18" t="s">
        <v>56</v>
      </c>
      <c r="AZ17" s="18" t="s">
        <v>10</v>
      </c>
      <c r="BA17" s="18" t="s">
        <v>56</v>
      </c>
      <c r="BB17" s="18" t="s">
        <v>56</v>
      </c>
      <c r="BC17" s="18" t="s">
        <v>56</v>
      </c>
      <c r="BD17" s="18" t="s">
        <v>56</v>
      </c>
      <c r="BE17" s="18" t="s">
        <v>56</v>
      </c>
      <c r="BF17" s="18" t="s">
        <v>56</v>
      </c>
      <c r="BG17" s="18" t="s">
        <v>10</v>
      </c>
      <c r="BH17" s="18" t="s">
        <v>10</v>
      </c>
      <c r="BI17" s="18" t="s">
        <v>9</v>
      </c>
      <c r="BJ17" s="18" t="s">
        <v>9</v>
      </c>
      <c r="BK17" s="18" t="s">
        <v>9</v>
      </c>
      <c r="BL17" s="18" t="s">
        <v>10</v>
      </c>
      <c r="BM17" s="18" t="s">
        <v>56</v>
      </c>
      <c r="BN17" s="18" t="s">
        <v>10</v>
      </c>
      <c r="BO17" s="18" t="s">
        <v>10</v>
      </c>
      <c r="BP17" s="18" t="s">
        <v>9</v>
      </c>
      <c r="BQ17" s="18" t="s">
        <v>10</v>
      </c>
      <c r="BR17" s="18" t="s">
        <v>10</v>
      </c>
      <c r="BS17" s="18" t="s">
        <v>10</v>
      </c>
      <c r="BT17" s="18" t="s">
        <v>56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9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/>
      <c r="CE17" s="18"/>
      <c r="CF17" s="18"/>
      <c r="CG17" s="18"/>
      <c r="CH17" s="18" t="s">
        <v>56</v>
      </c>
      <c r="CI17" s="18" t="s">
        <v>10</v>
      </c>
      <c r="CJ17" s="18" t="s">
        <v>10</v>
      </c>
      <c r="CK17" s="18" t="s">
        <v>10</v>
      </c>
    </row>
    <row r="18" customFormat="false" ht="15.75" hidden="false" customHeight="true" outlineLevel="0" collapsed="false">
      <c r="A18" s="17"/>
      <c r="B18" s="19" t="n">
        <v>25173</v>
      </c>
      <c r="C18" s="34" t="s">
        <v>65</v>
      </c>
      <c r="D18" s="17" t="n">
        <f aca="false">COUNTIF($G18:$CK18,D$9)</f>
        <v>16</v>
      </c>
      <c r="E18" s="17" t="n">
        <f aca="false">COUNTIF($G18:$CK18,E$9)</f>
        <v>22</v>
      </c>
      <c r="F18" s="17" t="n">
        <f aca="false">COUNTIF($G18:$CK18,F$9)</f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 t="s">
        <v>10</v>
      </c>
      <c r="AJ18" s="18" t="s">
        <v>10</v>
      </c>
      <c r="AK18" s="18" t="s">
        <v>56</v>
      </c>
      <c r="AL18" s="18" t="s">
        <v>56</v>
      </c>
      <c r="AM18" s="18" t="s">
        <v>56</v>
      </c>
      <c r="AN18" s="18" t="s">
        <v>10</v>
      </c>
      <c r="AO18" s="18" t="s">
        <v>9</v>
      </c>
      <c r="AP18" s="18" t="s">
        <v>9</v>
      </c>
      <c r="AQ18" s="18" t="s">
        <v>9</v>
      </c>
      <c r="AR18" s="18" t="s">
        <v>9</v>
      </c>
      <c r="AS18" s="18" t="s">
        <v>10</v>
      </c>
      <c r="AT18" s="18" t="s">
        <v>9</v>
      </c>
      <c r="AU18" s="18" t="s">
        <v>9</v>
      </c>
      <c r="AV18" s="18" t="s">
        <v>9</v>
      </c>
      <c r="AW18" s="18" t="s">
        <v>9</v>
      </c>
      <c r="AX18" s="18" t="s">
        <v>9</v>
      </c>
      <c r="AY18" s="18" t="s">
        <v>56</v>
      </c>
      <c r="AZ18" s="18" t="s">
        <v>10</v>
      </c>
      <c r="BA18" s="18" t="s">
        <v>56</v>
      </c>
      <c r="BB18" s="18" t="s">
        <v>56</v>
      </c>
      <c r="BC18" s="18" t="s">
        <v>56</v>
      </c>
      <c r="BD18" s="18" t="s">
        <v>56</v>
      </c>
      <c r="BE18" s="18" t="s">
        <v>56</v>
      </c>
      <c r="BF18" s="18" t="s">
        <v>56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9</v>
      </c>
      <c r="BM18" s="18" t="s">
        <v>56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56</v>
      </c>
      <c r="BU18" s="18" t="s">
        <v>9</v>
      </c>
      <c r="BV18" s="18" t="s">
        <v>9</v>
      </c>
      <c r="BW18" s="18" t="s">
        <v>9</v>
      </c>
      <c r="BX18" s="18" t="s">
        <v>9</v>
      </c>
      <c r="BY18" s="18" t="s">
        <v>9</v>
      </c>
      <c r="BZ18" s="18" t="s">
        <v>10</v>
      </c>
      <c r="CA18" s="18" t="s">
        <v>10</v>
      </c>
      <c r="CB18" s="18" t="s">
        <v>9</v>
      </c>
      <c r="CC18" s="18" t="s">
        <v>10</v>
      </c>
      <c r="CD18" s="18"/>
      <c r="CE18" s="18"/>
      <c r="CF18" s="18"/>
      <c r="CG18" s="18"/>
      <c r="CH18" s="18" t="s">
        <v>56</v>
      </c>
      <c r="CI18" s="18" t="s">
        <v>10</v>
      </c>
      <c r="CJ18" s="18" t="s">
        <v>10</v>
      </c>
      <c r="CK18" s="18" t="s">
        <v>10</v>
      </c>
    </row>
    <row r="19" customFormat="false" ht="15.75" hidden="false" customHeight="true" outlineLevel="0" collapsed="false">
      <c r="A19" s="17"/>
      <c r="B19" s="17"/>
      <c r="C19" s="34" t="s">
        <v>66</v>
      </c>
      <c r="D19" s="17" t="n">
        <f aca="false">COUNTIF($G19:$CK19,D$9)</f>
        <v>23</v>
      </c>
      <c r="E19" s="17" t="n">
        <f aca="false">COUNTIF($G19:$CK19,E$9)</f>
        <v>15</v>
      </c>
      <c r="F19" s="17" t="n">
        <f aca="false">COUNTIF($G19:$CK19,F$9)</f>
        <v>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 t="s">
        <v>10</v>
      </c>
      <c r="AJ19" s="18" t="s">
        <v>10</v>
      </c>
      <c r="AK19" s="18" t="s">
        <v>56</v>
      </c>
      <c r="AL19" s="18" t="s">
        <v>56</v>
      </c>
      <c r="AM19" s="18" t="s">
        <v>56</v>
      </c>
      <c r="AN19" s="18" t="s">
        <v>10</v>
      </c>
      <c r="AO19" s="18" t="s">
        <v>9</v>
      </c>
      <c r="AP19" s="18" t="s">
        <v>9</v>
      </c>
      <c r="AQ19" s="18" t="s">
        <v>10</v>
      </c>
      <c r="AR19" s="18" t="s">
        <v>10</v>
      </c>
      <c r="AS19" s="18" t="s">
        <v>10</v>
      </c>
      <c r="AT19" s="18" t="s">
        <v>9</v>
      </c>
      <c r="AU19" s="18" t="s">
        <v>9</v>
      </c>
      <c r="AV19" s="18" t="s">
        <v>10</v>
      </c>
      <c r="AW19" s="18" t="s">
        <v>9</v>
      </c>
      <c r="AX19" s="18" t="s">
        <v>10</v>
      </c>
      <c r="AY19" s="18" t="s">
        <v>56</v>
      </c>
      <c r="AZ19" s="18" t="s">
        <v>10</v>
      </c>
      <c r="BA19" s="18" t="s">
        <v>56</v>
      </c>
      <c r="BB19" s="18" t="s">
        <v>56</v>
      </c>
      <c r="BC19" s="18" t="s">
        <v>56</v>
      </c>
      <c r="BD19" s="18" t="s">
        <v>56</v>
      </c>
      <c r="BE19" s="18" t="s">
        <v>56</v>
      </c>
      <c r="BF19" s="18" t="s">
        <v>56</v>
      </c>
      <c r="BG19" s="18" t="s">
        <v>10</v>
      </c>
      <c r="BH19" s="18" t="s">
        <v>9</v>
      </c>
      <c r="BI19" s="18" t="s">
        <v>9</v>
      </c>
      <c r="BJ19" s="18" t="s">
        <v>9</v>
      </c>
      <c r="BK19" s="18" t="s">
        <v>9</v>
      </c>
      <c r="BL19" s="18" t="s">
        <v>9</v>
      </c>
      <c r="BM19" s="18" t="s">
        <v>56</v>
      </c>
      <c r="BN19" s="18" t="s">
        <v>10</v>
      </c>
      <c r="BO19" s="18" t="s">
        <v>10</v>
      </c>
      <c r="BP19" s="18" t="s">
        <v>9</v>
      </c>
      <c r="BQ19" s="18" t="s">
        <v>9</v>
      </c>
      <c r="BR19" s="18" t="s">
        <v>9</v>
      </c>
      <c r="BS19" s="18" t="s">
        <v>10</v>
      </c>
      <c r="BT19" s="18" t="s">
        <v>56</v>
      </c>
      <c r="BU19" s="18" t="s">
        <v>10</v>
      </c>
      <c r="BV19" s="18" t="s">
        <v>9</v>
      </c>
      <c r="BW19" s="18" t="s">
        <v>9</v>
      </c>
      <c r="BX19" s="18" t="s">
        <v>9</v>
      </c>
      <c r="BY19" s="18" t="s">
        <v>9</v>
      </c>
      <c r="BZ19" s="18" t="s">
        <v>9</v>
      </c>
      <c r="CA19" s="18" t="s">
        <v>9</v>
      </c>
      <c r="CB19" s="18" t="s">
        <v>9</v>
      </c>
      <c r="CC19" s="18" t="s">
        <v>9</v>
      </c>
      <c r="CD19" s="18"/>
      <c r="CE19" s="18"/>
      <c r="CF19" s="18"/>
      <c r="CG19" s="18"/>
      <c r="CH19" s="18" t="s">
        <v>56</v>
      </c>
      <c r="CI19" s="18" t="s">
        <v>10</v>
      </c>
      <c r="CJ19" s="18" t="s">
        <v>9</v>
      </c>
      <c r="CK19" s="18" t="s">
        <v>9</v>
      </c>
    </row>
    <row r="20" customFormat="false" ht="15.75" hidden="false" customHeight="true" outlineLevel="0" collapsed="false">
      <c r="A20" s="17"/>
      <c r="B20" s="17"/>
      <c r="C20" s="35" t="s">
        <v>67</v>
      </c>
      <c r="D20" s="17" t="n">
        <f aca="false">COUNTIF($G20:$CK20,D$9)</f>
        <v>16</v>
      </c>
      <c r="E20" s="17" t="n">
        <f aca="false">COUNTIF($G20:$CK20,E$9)</f>
        <v>4</v>
      </c>
      <c r="F20" s="17" t="n">
        <f aca="false">COUNTIF($G20:$CK20,F$9)</f>
        <v>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 t="s">
        <v>9</v>
      </c>
      <c r="BL20" s="18" t="s">
        <v>9</v>
      </c>
      <c r="BM20" s="18" t="s">
        <v>56</v>
      </c>
      <c r="BN20" s="18" t="s">
        <v>10</v>
      </c>
      <c r="BO20" s="18" t="s">
        <v>9</v>
      </c>
      <c r="BP20" s="18" t="s">
        <v>9</v>
      </c>
      <c r="BQ20" s="18" t="s">
        <v>9</v>
      </c>
      <c r="BR20" s="18" t="s">
        <v>9</v>
      </c>
      <c r="BS20" s="18" t="s">
        <v>9</v>
      </c>
      <c r="BT20" s="18" t="s">
        <v>56</v>
      </c>
      <c r="BU20" s="18" t="s">
        <v>9</v>
      </c>
      <c r="BV20" s="18" t="s">
        <v>9</v>
      </c>
      <c r="BW20" s="18" t="s">
        <v>9</v>
      </c>
      <c r="BX20" s="18" t="s">
        <v>9</v>
      </c>
      <c r="BY20" s="18" t="s">
        <v>9</v>
      </c>
      <c r="BZ20" s="18" t="s">
        <v>9</v>
      </c>
      <c r="CA20" s="18" t="s">
        <v>9</v>
      </c>
      <c r="CB20" s="18" t="s">
        <v>9</v>
      </c>
      <c r="CC20" s="18" t="s">
        <v>9</v>
      </c>
      <c r="CD20" s="18"/>
      <c r="CE20" s="18"/>
      <c r="CF20" s="18"/>
      <c r="CG20" s="18"/>
      <c r="CH20" s="18" t="s">
        <v>56</v>
      </c>
      <c r="CI20" s="18" t="s">
        <v>10</v>
      </c>
      <c r="CJ20" s="18" t="s">
        <v>10</v>
      </c>
      <c r="CK20" s="18" t="s">
        <v>10</v>
      </c>
    </row>
    <row r="21" customFormat="false" ht="15.75" hidden="false" customHeight="true" outlineLevel="0" collapsed="false">
      <c r="A21" s="17"/>
      <c r="B21" s="19" t="n">
        <v>25235</v>
      </c>
      <c r="C21" s="35" t="s">
        <v>20</v>
      </c>
      <c r="D21" s="17" t="n">
        <f aca="false">COUNTIF($G21:$CK21,D$9)</f>
        <v>18</v>
      </c>
      <c r="E21" s="17" t="n">
        <f aca="false">COUNTIF($G21:$CK21,E$9)</f>
        <v>0</v>
      </c>
      <c r="F21" s="17" t="n">
        <f aca="false">COUNTIF($G21:$CK21,F$9)</f>
        <v>2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 t="s">
        <v>9</v>
      </c>
      <c r="BL21" s="18" t="s">
        <v>9</v>
      </c>
      <c r="BM21" s="18" t="s">
        <v>56</v>
      </c>
      <c r="BN21" s="18" t="s">
        <v>9</v>
      </c>
      <c r="BO21" s="18" t="s">
        <v>9</v>
      </c>
      <c r="BP21" s="18" t="s">
        <v>9</v>
      </c>
      <c r="BQ21" s="18" t="s">
        <v>9</v>
      </c>
      <c r="BR21" s="18" t="s">
        <v>9</v>
      </c>
      <c r="BS21" s="18" t="s">
        <v>9</v>
      </c>
      <c r="BT21" s="18" t="s">
        <v>56</v>
      </c>
      <c r="BU21" s="18" t="s">
        <v>9</v>
      </c>
      <c r="BV21" s="18" t="s">
        <v>9</v>
      </c>
      <c r="BW21" s="18" t="s">
        <v>11</v>
      </c>
      <c r="BX21" s="18" t="s">
        <v>9</v>
      </c>
      <c r="BY21" s="18" t="s">
        <v>11</v>
      </c>
      <c r="BZ21" s="18" t="s">
        <v>9</v>
      </c>
      <c r="CA21" s="18" t="s">
        <v>9</v>
      </c>
      <c r="CB21" s="18" t="s">
        <v>9</v>
      </c>
      <c r="CC21" s="18" t="s">
        <v>9</v>
      </c>
      <c r="CD21" s="18"/>
      <c r="CE21" s="18"/>
      <c r="CF21" s="18"/>
      <c r="CG21" s="18"/>
      <c r="CH21" s="18" t="s">
        <v>56</v>
      </c>
      <c r="CI21" s="18" t="s">
        <v>9</v>
      </c>
      <c r="CJ21" s="18" t="s">
        <v>9</v>
      </c>
      <c r="CK21" s="18" t="s">
        <v>9</v>
      </c>
    </row>
    <row r="22" customFormat="false" ht="15.75" hidden="false" customHeight="true" outlineLevel="0" collapsed="false">
      <c r="A22" s="17"/>
      <c r="B22" s="19" t="n">
        <v>25236</v>
      </c>
      <c r="C22" s="35" t="s">
        <v>68</v>
      </c>
      <c r="D22" s="17" t="n">
        <f aca="false">COUNTIF($G22:$CK22,D$9)</f>
        <v>20</v>
      </c>
      <c r="E22" s="17" t="n">
        <f aca="false">COUNTIF($G22:$CK22,E$9)</f>
        <v>0</v>
      </c>
      <c r="F22" s="17" t="n">
        <f aca="false">COUNTIF($G22:$CK22,F$9)</f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 t="s">
        <v>9</v>
      </c>
      <c r="BL22" s="18" t="s">
        <v>9</v>
      </c>
      <c r="BM22" s="18" t="s">
        <v>56</v>
      </c>
      <c r="BN22" s="18" t="s">
        <v>9</v>
      </c>
      <c r="BO22" s="18" t="s">
        <v>9</v>
      </c>
      <c r="BP22" s="18" t="s">
        <v>9</v>
      </c>
      <c r="BQ22" s="18" t="s">
        <v>9</v>
      </c>
      <c r="BR22" s="18" t="s">
        <v>9</v>
      </c>
      <c r="BS22" s="18" t="s">
        <v>9</v>
      </c>
      <c r="BT22" s="18" t="s">
        <v>56</v>
      </c>
      <c r="BU22" s="18" t="s">
        <v>9</v>
      </c>
      <c r="BV22" s="18" t="s">
        <v>9</v>
      </c>
      <c r="BW22" s="18" t="s">
        <v>9</v>
      </c>
      <c r="BX22" s="18" t="s">
        <v>9</v>
      </c>
      <c r="BY22" s="18" t="s">
        <v>9</v>
      </c>
      <c r="BZ22" s="18" t="s">
        <v>9</v>
      </c>
      <c r="CA22" s="18" t="s">
        <v>9</v>
      </c>
      <c r="CB22" s="18" t="s">
        <v>9</v>
      </c>
      <c r="CC22" s="18" t="s">
        <v>9</v>
      </c>
      <c r="CD22" s="18"/>
      <c r="CE22" s="18"/>
      <c r="CF22" s="18"/>
      <c r="CG22" s="18"/>
      <c r="CH22" s="18" t="s">
        <v>56</v>
      </c>
      <c r="CI22" s="18" t="s">
        <v>9</v>
      </c>
      <c r="CJ22" s="18" t="s">
        <v>9</v>
      </c>
      <c r="CK22" s="18" t="s">
        <v>9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mergeCells count="2">
    <mergeCell ref="G2:AA4"/>
    <mergeCell ref="J6:Q6"/>
  </mergeCells>
  <dataValidations count="3">
    <dataValidation allowBlank="true" errorStyle="stop" operator="between" showDropDown="false" showErrorMessage="true" showInputMessage="false" sqref="G7:CK7" type="list">
      <formula1>"SHAKIL,JIHAD,MAM"</formula1>
      <formula2>0</formula2>
    </dataValidation>
    <dataValidation allowBlank="true" errorStyle="stop" operator="between" showDropDown="false" showErrorMessage="true" showInputMessage="false" sqref="G10:CK22" type="list">
      <formula1>"P,A,E,Offday,BATCH CHANGED"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1.75"/>
    <col collapsed="false" customWidth="true" hidden="false" outlineLevel="0" max="3" min="3" style="0" width="25.12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A1" s="36"/>
      <c r="B1" s="37" t="s">
        <v>12</v>
      </c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36"/>
      <c r="B2" s="36"/>
      <c r="C2" s="36"/>
      <c r="D2" s="36"/>
      <c r="E2" s="36"/>
      <c r="F2" s="36"/>
      <c r="G2" s="3" t="s">
        <v>69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A3" s="36"/>
      <c r="B3" s="36"/>
      <c r="C3" s="36"/>
      <c r="D3" s="36"/>
      <c r="E3" s="36"/>
      <c r="F3" s="3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38" t="s">
        <v>70</v>
      </c>
    </row>
    <row r="4" customFormat="false" ht="23.25" hidden="false" customHeight="true" outlineLevel="0" collapsed="false">
      <c r="A4" s="36"/>
      <c r="B4" s="4" t="s">
        <v>2</v>
      </c>
      <c r="C4" s="5" t="n">
        <v>46116</v>
      </c>
      <c r="D4" s="36"/>
      <c r="E4" s="36"/>
      <c r="F4" s="3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>
      <c r="A5" s="36"/>
      <c r="B5" s="36"/>
      <c r="C5" s="36"/>
      <c r="D5" s="36"/>
      <c r="E5" s="36"/>
      <c r="F5" s="36"/>
    </row>
    <row r="6" customFormat="false" ht="21" hidden="false" customHeight="true" outlineLevel="0" collapsed="false">
      <c r="A6" s="36"/>
      <c r="B6" s="6" t="s">
        <v>3</v>
      </c>
      <c r="C6" s="7" t="n">
        <v>46205</v>
      </c>
      <c r="D6" s="36"/>
      <c r="E6" s="36"/>
      <c r="F6" s="36"/>
      <c r="J6" s="8" t="s">
        <v>71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36"/>
      <c r="B7" s="39"/>
      <c r="C7" s="39"/>
      <c r="D7" s="36"/>
      <c r="E7" s="36"/>
      <c r="F7" s="36"/>
      <c r="G7" s="9" t="s">
        <v>31</v>
      </c>
      <c r="H7" s="9" t="s">
        <v>31</v>
      </c>
      <c r="I7" s="9" t="s">
        <v>31</v>
      </c>
      <c r="J7" s="9" t="s">
        <v>5</v>
      </c>
      <c r="K7" s="9" t="s">
        <v>31</v>
      </c>
      <c r="L7" s="9" t="s">
        <v>31</v>
      </c>
      <c r="M7" s="9" t="s">
        <v>31</v>
      </c>
      <c r="N7" s="9" t="s">
        <v>31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72</v>
      </c>
      <c r="U7" s="9" t="s">
        <v>72</v>
      </c>
      <c r="V7" s="9" t="s">
        <v>72</v>
      </c>
      <c r="W7" s="9" t="s">
        <v>72</v>
      </c>
      <c r="X7" s="9" t="s">
        <v>72</v>
      </c>
      <c r="Y7" s="9" t="s">
        <v>72</v>
      </c>
      <c r="Z7" s="9" t="s">
        <v>72</v>
      </c>
      <c r="AA7" s="9" t="s">
        <v>72</v>
      </c>
      <c r="AB7" s="9" t="s">
        <v>72</v>
      </c>
      <c r="AC7" s="9" t="s">
        <v>72</v>
      </c>
      <c r="AD7" s="9" t="s">
        <v>72</v>
      </c>
      <c r="AE7" s="9" t="s">
        <v>72</v>
      </c>
      <c r="AF7" s="9" t="s">
        <v>72</v>
      </c>
      <c r="AG7" s="9" t="s">
        <v>72</v>
      </c>
      <c r="AH7" s="9" t="s">
        <v>72</v>
      </c>
      <c r="AI7" s="9" t="s">
        <v>72</v>
      </c>
      <c r="AJ7" s="9" t="s">
        <v>72</v>
      </c>
      <c r="AK7" s="9" t="s">
        <v>72</v>
      </c>
      <c r="AL7" s="9" t="s">
        <v>72</v>
      </c>
      <c r="AM7" s="9" t="s">
        <v>72</v>
      </c>
      <c r="AN7" s="9" t="s">
        <v>72</v>
      </c>
      <c r="AO7" s="9" t="s">
        <v>72</v>
      </c>
      <c r="AP7" s="9" t="s">
        <v>72</v>
      </c>
      <c r="AQ7" s="9" t="s">
        <v>72</v>
      </c>
      <c r="AR7" s="9" t="s">
        <v>72</v>
      </c>
      <c r="AS7" s="9" t="s">
        <v>72</v>
      </c>
      <c r="AT7" s="9" t="s">
        <v>72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A8" s="36"/>
      <c r="B8" s="36"/>
      <c r="C8" s="36"/>
      <c r="D8" s="36"/>
      <c r="E8" s="36"/>
      <c r="F8" s="36"/>
      <c r="G8" s="10" t="str">
        <f aca="false">TEXT(G9,"DDD")</f>
        <v>Sat</v>
      </c>
      <c r="H8" s="10" t="str">
        <f aca="false">TEXT(H9,"DDD")</f>
        <v>Mon</v>
      </c>
      <c r="I8" s="10" t="str">
        <f aca="false">TEXT(I9,"DDD")</f>
        <v>Wed</v>
      </c>
      <c r="J8" s="10" t="str">
        <f aca="false">TEXT(J9,"DDD")</f>
        <v>Sat</v>
      </c>
      <c r="K8" s="10" t="str">
        <f aca="false">TEXT(K9,"DDD")</f>
        <v>Mon</v>
      </c>
      <c r="L8" s="10" t="str">
        <f aca="false">TEXT(L9,"DDD")</f>
        <v>Wed</v>
      </c>
      <c r="M8" s="10" t="str">
        <f aca="false">TEXT(M9,"DDD")</f>
        <v>Sat</v>
      </c>
      <c r="N8" s="10" t="str">
        <f aca="false">TEXT(N9,"DDD")</f>
        <v>Mon</v>
      </c>
      <c r="O8" s="10" t="str">
        <f aca="false">TEXT(O9,"DDD")</f>
        <v>Wed</v>
      </c>
      <c r="P8" s="10" t="str">
        <f aca="false">TEXT(P9,"DDD")</f>
        <v>Sat</v>
      </c>
      <c r="Q8" s="10" t="str">
        <f aca="false">TEXT(Q9,"DDD")</f>
        <v>Mon</v>
      </c>
      <c r="R8" s="10" t="str">
        <f aca="false">TEXT(R9,"DDD")</f>
        <v>Wed</v>
      </c>
      <c r="S8" s="10" t="str">
        <f aca="false">TEXT(S9,"DDD")</f>
        <v>Sat</v>
      </c>
      <c r="T8" s="10" t="str">
        <f aca="false">TEXT(T9,"DDD")</f>
        <v>Mon</v>
      </c>
      <c r="U8" s="10" t="str">
        <f aca="false">TEXT(U9,"DDD")</f>
        <v>Wed</v>
      </c>
      <c r="V8" s="10" t="str">
        <f aca="false">TEXT(V9,"DDD")</f>
        <v>Sat</v>
      </c>
      <c r="W8" s="10" t="str">
        <f aca="false">TEXT(W9,"DDD")</f>
        <v>Mon</v>
      </c>
      <c r="X8" s="10" t="str">
        <f aca="false">TEXT(X9,"DDD")</f>
        <v>Wed</v>
      </c>
      <c r="Y8" s="10" t="str">
        <f aca="false">TEXT(Y9,"DDD")</f>
        <v>Sat</v>
      </c>
      <c r="Z8" s="10" t="str">
        <f aca="false">TEXT(Z9,"DDD")</f>
        <v>Mon</v>
      </c>
      <c r="AA8" s="10" t="str">
        <f aca="false">TEXT(AA9,"DDD")</f>
        <v>Wed</v>
      </c>
      <c r="AB8" s="10" t="str">
        <f aca="false">TEXT(AB9,"DDD")</f>
        <v>Sat</v>
      </c>
      <c r="AC8" s="10" t="str">
        <f aca="false">TEXT(AC9,"DDD")</f>
        <v>Mon</v>
      </c>
      <c r="AD8" s="10" t="str">
        <f aca="false">TEXT(AD9,"DDD")</f>
        <v>Wed</v>
      </c>
      <c r="AE8" s="10" t="str">
        <f aca="false">TEXT(AE9,"DDD")</f>
        <v>Sat</v>
      </c>
      <c r="AF8" s="10" t="str">
        <f aca="false">TEXT(AF9,"DDD")</f>
        <v>Mon</v>
      </c>
      <c r="AG8" s="10" t="str">
        <f aca="false">TEXT(AG9,"DDD")</f>
        <v>Wed</v>
      </c>
      <c r="AH8" s="10" t="str">
        <f aca="false">TEXT(AH9,"DDD")</f>
        <v>Sat</v>
      </c>
      <c r="AI8" s="10" t="str">
        <f aca="false">TEXT(AI9,"DDD")</f>
        <v>Mon</v>
      </c>
      <c r="AJ8" s="10" t="str">
        <f aca="false">TEXT(AJ9,"DDD")</f>
        <v>Wed</v>
      </c>
      <c r="AK8" s="10" t="str">
        <f aca="false">TEXT(AK9,"DDD")</f>
        <v>Sat</v>
      </c>
      <c r="AL8" s="10" t="str">
        <f aca="false">TEXT(AL9,"DDD")</f>
        <v>Mon</v>
      </c>
      <c r="AM8" s="10" t="str">
        <f aca="false">TEXT(AM9,"DDD")</f>
        <v>Wed</v>
      </c>
      <c r="AN8" s="10" t="str">
        <f aca="false">TEXT(AN9,"DDD")</f>
        <v>Sat</v>
      </c>
      <c r="AO8" s="10" t="str">
        <f aca="false">TEXT(AO9,"DDD")</f>
        <v>Mon</v>
      </c>
      <c r="AP8" s="10" t="str">
        <f aca="false">TEXT(AP9,"DDD")</f>
        <v>Wed</v>
      </c>
      <c r="AQ8" s="10" t="str">
        <f aca="false">TEXT(AQ9,"DDD")</f>
        <v>Sat</v>
      </c>
      <c r="AR8" s="10" t="str">
        <f aca="false">TEXT(AR9,"DDD")</f>
        <v>Mon</v>
      </c>
      <c r="AS8" s="10" t="str">
        <f aca="false">TEXT(AS9,"DDD")</f>
        <v>Wed</v>
      </c>
      <c r="AT8" s="10" t="str">
        <f aca="false">TEXT(AT9,"DDD")</f>
        <v>Sat</v>
      </c>
      <c r="AU8" s="10" t="str">
        <f aca="false">TEXT(AU9,"DDD")</f>
        <v>Mon</v>
      </c>
      <c r="AV8" s="10" t="str">
        <f aca="false">TEXT(AV9,"DDD")</f>
        <v>Wed</v>
      </c>
      <c r="AW8" s="10" t="str">
        <f aca="false">TEXT(AW9,"DDD")</f>
        <v>Sat</v>
      </c>
      <c r="AX8" s="10" t="str">
        <f aca="false">TEXT(AX9,"DDD")</f>
        <v>Mon</v>
      </c>
      <c r="AY8" s="10" t="str">
        <f aca="false">TEXT(AY9,"DDD")</f>
        <v>Wed</v>
      </c>
      <c r="AZ8" s="10" t="str">
        <f aca="false">TEXT(AZ9,"DDD")</f>
        <v>Sat</v>
      </c>
      <c r="BA8" s="10" t="str">
        <f aca="false">TEXT(BA9,"DDD")</f>
        <v>Mon</v>
      </c>
      <c r="BB8" s="10" t="str">
        <f aca="false">TEXT(BB9,"DDD")</f>
        <v>Wed</v>
      </c>
      <c r="BC8" s="10" t="str">
        <f aca="false">TEXT(BC9,"DDD")</f>
        <v>Sat</v>
      </c>
      <c r="BD8" s="10" t="str">
        <f aca="false">TEXT(BD9,"DDD")</f>
        <v>Mon</v>
      </c>
      <c r="BE8" s="10" t="str">
        <f aca="false">TEXT(BE9,"DDD")</f>
        <v>Wed</v>
      </c>
      <c r="BF8" s="10" t="str">
        <f aca="false">TEXT(BF9,"DDD")</f>
        <v>Sat</v>
      </c>
      <c r="BG8" s="10" t="str">
        <f aca="false">TEXT(BG9,"DDD")</f>
        <v>Mon</v>
      </c>
      <c r="BH8" s="10" t="str">
        <f aca="false">TEXT(BH9,"DDD")</f>
        <v>Wed</v>
      </c>
      <c r="BI8" s="10" t="str">
        <f aca="false">TEXT(BI9,"DDD")</f>
        <v>Sat</v>
      </c>
      <c r="BJ8" s="10" t="str">
        <f aca="false">TEXT(BJ9,"DDD")</f>
        <v>Mon</v>
      </c>
      <c r="BK8" s="10" t="str">
        <f aca="false">TEXT(BK9,"DDD")</f>
        <v>Wed</v>
      </c>
      <c r="BL8" s="10" t="str">
        <f aca="false">TEXT(BL9,"DDD")</f>
        <v>Sat</v>
      </c>
      <c r="BM8" s="10" t="str">
        <f aca="false">TEXT(BM9,"DDD")</f>
        <v>Mon</v>
      </c>
      <c r="BN8" s="10" t="str">
        <f aca="false">TEXT(BN9,"DDD")</f>
        <v>Wed</v>
      </c>
    </row>
    <row r="9" customFormat="false" ht="15.75" hidden="false" customHeight="true" outlineLevel="0" collapsed="false">
      <c r="A9" s="11" t="s">
        <v>6</v>
      </c>
      <c r="B9" s="40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46116</v>
      </c>
      <c r="H9" s="15" t="n">
        <f aca="false">G9+2</f>
        <v>46118</v>
      </c>
      <c r="I9" s="15" t="n">
        <f aca="false">H9+2</f>
        <v>46120</v>
      </c>
      <c r="J9" s="15" t="n">
        <f aca="false">I9+3</f>
        <v>46123</v>
      </c>
      <c r="K9" s="15" t="n">
        <f aca="false">J9+2</f>
        <v>46125</v>
      </c>
      <c r="L9" s="15" t="n">
        <f aca="false">K9+2</f>
        <v>46127</v>
      </c>
      <c r="M9" s="15" t="n">
        <f aca="false">L9+3</f>
        <v>46130</v>
      </c>
      <c r="N9" s="15" t="n">
        <f aca="false">M9+2</f>
        <v>46132</v>
      </c>
      <c r="O9" s="15" t="n">
        <f aca="false">N9+2</f>
        <v>46134</v>
      </c>
      <c r="P9" s="15" t="n">
        <f aca="false">O9+3</f>
        <v>46137</v>
      </c>
      <c r="Q9" s="15" t="n">
        <f aca="false">P9+2</f>
        <v>46139</v>
      </c>
      <c r="R9" s="15" t="n">
        <f aca="false">Q9+2</f>
        <v>46141</v>
      </c>
      <c r="S9" s="15" t="n">
        <f aca="false">R9+3</f>
        <v>46144</v>
      </c>
      <c r="T9" s="15" t="n">
        <f aca="false">S9+2</f>
        <v>46146</v>
      </c>
      <c r="U9" s="15" t="n">
        <f aca="false">T9+2</f>
        <v>46148</v>
      </c>
      <c r="V9" s="15" t="n">
        <f aca="false">U9+3</f>
        <v>46151</v>
      </c>
      <c r="W9" s="15" t="n">
        <f aca="false">V9+2</f>
        <v>46153</v>
      </c>
      <c r="X9" s="15" t="n">
        <f aca="false">W9+2</f>
        <v>46155</v>
      </c>
      <c r="Y9" s="15" t="n">
        <f aca="false">X9+3</f>
        <v>46158</v>
      </c>
      <c r="Z9" s="15" t="n">
        <f aca="false">Y9+2</f>
        <v>46160</v>
      </c>
      <c r="AA9" s="15" t="n">
        <f aca="false">Z9+2</f>
        <v>46162</v>
      </c>
      <c r="AB9" s="15" t="n">
        <f aca="false">AA9+3</f>
        <v>46165</v>
      </c>
      <c r="AC9" s="15" t="n">
        <f aca="false">AB9+2</f>
        <v>46167</v>
      </c>
      <c r="AD9" s="15" t="n">
        <f aca="false">AC9+2</f>
        <v>46169</v>
      </c>
      <c r="AE9" s="15" t="n">
        <f aca="false">AD9+3</f>
        <v>46172</v>
      </c>
      <c r="AF9" s="15" t="n">
        <f aca="false">AE9+2</f>
        <v>46174</v>
      </c>
      <c r="AG9" s="15" t="n">
        <f aca="false">AF9+2</f>
        <v>46176</v>
      </c>
      <c r="AH9" s="15" t="n">
        <f aca="false">AG9+3</f>
        <v>46179</v>
      </c>
      <c r="AI9" s="15" t="n">
        <f aca="false">AH9+2</f>
        <v>46181</v>
      </c>
      <c r="AJ9" s="15" t="n">
        <f aca="false">AI9+2</f>
        <v>46183</v>
      </c>
      <c r="AK9" s="15" t="n">
        <f aca="false">AJ9+3</f>
        <v>46186</v>
      </c>
      <c r="AL9" s="15" t="n">
        <f aca="false">AK9+2</f>
        <v>46188</v>
      </c>
      <c r="AM9" s="15" t="n">
        <f aca="false">AL9+2</f>
        <v>46190</v>
      </c>
      <c r="AN9" s="15" t="n">
        <f aca="false">AM9+3</f>
        <v>46193</v>
      </c>
      <c r="AO9" s="15" t="n">
        <f aca="false">AN9+2</f>
        <v>46195</v>
      </c>
      <c r="AP9" s="15" t="n">
        <f aca="false">AO9+2</f>
        <v>46197</v>
      </c>
      <c r="AQ9" s="15" t="n">
        <f aca="false">AP9+3</f>
        <v>46200</v>
      </c>
      <c r="AR9" s="15" t="n">
        <f aca="false">AQ9+2</f>
        <v>46202</v>
      </c>
      <c r="AS9" s="15" t="n">
        <f aca="false">AR9+2</f>
        <v>46204</v>
      </c>
      <c r="AT9" s="15" t="n">
        <f aca="false">AS9+3</f>
        <v>46207</v>
      </c>
      <c r="AU9" s="15" t="n">
        <f aca="false">AT9+2</f>
        <v>46209</v>
      </c>
      <c r="AV9" s="15" t="n">
        <f aca="false">AU9+2</f>
        <v>46211</v>
      </c>
      <c r="AW9" s="15" t="n">
        <f aca="false">AV9+3</f>
        <v>46214</v>
      </c>
      <c r="AX9" s="15" t="n">
        <f aca="false">AW9+2</f>
        <v>46216</v>
      </c>
      <c r="AY9" s="15" t="n">
        <f aca="false">AX9+2</f>
        <v>46218</v>
      </c>
      <c r="AZ9" s="15" t="n">
        <f aca="false">AY9+3</f>
        <v>46221</v>
      </c>
      <c r="BA9" s="15" t="n">
        <f aca="false">AZ9+2</f>
        <v>46223</v>
      </c>
      <c r="BB9" s="15" t="n">
        <f aca="false">BA9+2</f>
        <v>46225</v>
      </c>
      <c r="BC9" s="15" t="n">
        <f aca="false">BB9+3</f>
        <v>46228</v>
      </c>
      <c r="BD9" s="15" t="n">
        <f aca="false">BC9+2</f>
        <v>46230</v>
      </c>
      <c r="BE9" s="15" t="n">
        <f aca="false">BD9+2</f>
        <v>46232</v>
      </c>
      <c r="BF9" s="15" t="n">
        <f aca="false">BE9+3</f>
        <v>46235</v>
      </c>
      <c r="BG9" s="15" t="n">
        <f aca="false">BF9+2</f>
        <v>46237</v>
      </c>
      <c r="BH9" s="15" t="n">
        <f aca="false">BG9+2</f>
        <v>46239</v>
      </c>
      <c r="BI9" s="15" t="n">
        <f aca="false">BH9+3</f>
        <v>46242</v>
      </c>
      <c r="BJ9" s="15" t="n">
        <f aca="false">BI9+2</f>
        <v>46244</v>
      </c>
      <c r="BK9" s="15" t="n">
        <f aca="false">BJ9+2</f>
        <v>46246</v>
      </c>
      <c r="BL9" s="15" t="n">
        <f aca="false">BK9+3</f>
        <v>46249</v>
      </c>
      <c r="BM9" s="15" t="n">
        <f aca="false">BL9+2</f>
        <v>46251</v>
      </c>
      <c r="BN9" s="15" t="n">
        <f aca="false">BM9+2</f>
        <v>46253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41" t="n">
        <v>3</v>
      </c>
      <c r="B10" s="42" t="n">
        <v>25110</v>
      </c>
      <c r="C10" s="43" t="s">
        <v>73</v>
      </c>
      <c r="D10" s="17" t="n">
        <f aca="false">COUNTIF($G10:$BN10,D$9)</f>
        <v>18</v>
      </c>
      <c r="E10" s="17" t="n">
        <f aca="false">COUNTIF($G10:$BN10,E$9)</f>
        <v>4</v>
      </c>
      <c r="F10" s="17" t="n">
        <f aca="false">COUNTIF($G10:$BN10,F$9)</f>
        <v>6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9</v>
      </c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9</v>
      </c>
      <c r="R10" s="18" t="s">
        <v>17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9</v>
      </c>
      <c r="X10" s="18" t="s">
        <v>9</v>
      </c>
      <c r="Y10" s="18" t="s">
        <v>9</v>
      </c>
      <c r="Z10" s="18" t="s">
        <v>11</v>
      </c>
      <c r="AA10" s="18" t="s">
        <v>11</v>
      </c>
      <c r="AB10" s="18" t="s">
        <v>11</v>
      </c>
      <c r="AC10" s="18" t="s">
        <v>17</v>
      </c>
      <c r="AD10" s="18" t="s">
        <v>17</v>
      </c>
      <c r="AE10" s="18" t="s">
        <v>17</v>
      </c>
      <c r="AF10" s="18" t="s">
        <v>17</v>
      </c>
      <c r="AG10" s="18" t="s">
        <v>11</v>
      </c>
      <c r="AH10" s="18" t="s">
        <v>11</v>
      </c>
      <c r="AI10" s="18" t="s">
        <v>11</v>
      </c>
      <c r="AJ10" s="18" t="s">
        <v>10</v>
      </c>
      <c r="AK10" s="18" t="s">
        <v>10</v>
      </c>
      <c r="AL10" s="18" t="s">
        <v>10</v>
      </c>
      <c r="AM10" s="18" t="s">
        <v>10</v>
      </c>
      <c r="AN10" s="18" t="s">
        <v>57</v>
      </c>
      <c r="AO10" s="18" t="s">
        <v>57</v>
      </c>
      <c r="AP10" s="18" t="s">
        <v>57</v>
      </c>
      <c r="AQ10" s="18" t="s">
        <v>57</v>
      </c>
      <c r="AR10" s="18" t="s">
        <v>57</v>
      </c>
      <c r="AS10" s="18" t="s">
        <v>57</v>
      </c>
      <c r="AT10" s="18" t="s">
        <v>57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41" t="n">
        <v>4</v>
      </c>
      <c r="B11" s="42" t="n">
        <v>25147</v>
      </c>
      <c r="C11" s="43" t="s">
        <v>74</v>
      </c>
      <c r="D11" s="17" t="n">
        <f aca="false">COUNTIF($G11:$BN11,D$9)</f>
        <v>22</v>
      </c>
      <c r="E11" s="17" t="n">
        <f aca="false">COUNTIF($G11:$BN11,E$9)</f>
        <v>12</v>
      </c>
      <c r="F11" s="17" t="n">
        <f aca="false">COUNTIF($G11:$BN11,F$9)</f>
        <v>1</v>
      </c>
      <c r="G11" s="18" t="s">
        <v>9</v>
      </c>
      <c r="H11" s="18" t="s">
        <v>9</v>
      </c>
      <c r="I11" s="18" t="s">
        <v>9</v>
      </c>
      <c r="J11" s="18" t="s">
        <v>9</v>
      </c>
      <c r="K11" s="18" t="s">
        <v>9</v>
      </c>
      <c r="L11" s="18" t="s">
        <v>9</v>
      </c>
      <c r="M11" s="18" t="s">
        <v>9</v>
      </c>
      <c r="N11" s="18" t="s">
        <v>9</v>
      </c>
      <c r="O11" s="18" t="s">
        <v>9</v>
      </c>
      <c r="P11" s="18" t="s">
        <v>10</v>
      </c>
      <c r="Q11" s="18" t="s">
        <v>9</v>
      </c>
      <c r="R11" s="18" t="s">
        <v>17</v>
      </c>
      <c r="S11" s="18" t="s">
        <v>9</v>
      </c>
      <c r="T11" s="18" t="s">
        <v>9</v>
      </c>
      <c r="U11" s="18" t="s">
        <v>9</v>
      </c>
      <c r="V11" s="18" t="s">
        <v>9</v>
      </c>
      <c r="W11" s="18" t="s">
        <v>9</v>
      </c>
      <c r="X11" s="18" t="s">
        <v>9</v>
      </c>
      <c r="Y11" s="18" t="s">
        <v>9</v>
      </c>
      <c r="Z11" s="18" t="s">
        <v>10</v>
      </c>
      <c r="AA11" s="18" t="s">
        <v>10</v>
      </c>
      <c r="AB11" s="18" t="s">
        <v>9</v>
      </c>
      <c r="AC11" s="18" t="s">
        <v>17</v>
      </c>
      <c r="AD11" s="18" t="s">
        <v>17</v>
      </c>
      <c r="AE11" s="18" t="s">
        <v>17</v>
      </c>
      <c r="AF11" s="18" t="s">
        <v>17</v>
      </c>
      <c r="AG11" s="18" t="s">
        <v>9</v>
      </c>
      <c r="AH11" s="18" t="s">
        <v>9</v>
      </c>
      <c r="AI11" s="18" t="s">
        <v>9</v>
      </c>
      <c r="AJ11" s="18" t="s">
        <v>9</v>
      </c>
      <c r="AK11" s="18" t="s">
        <v>10</v>
      </c>
      <c r="AL11" s="18" t="s">
        <v>11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41" t="n">
        <v>6</v>
      </c>
      <c r="B12" s="42" t="n">
        <v>26249</v>
      </c>
      <c r="C12" s="43" t="s">
        <v>75</v>
      </c>
      <c r="D12" s="17" t="n">
        <f aca="false">COUNTIF($G12:$BN12,D$9)</f>
        <v>16</v>
      </c>
      <c r="E12" s="17" t="n">
        <f aca="false">COUNTIF($G12:$BN12,E$9)</f>
        <v>19</v>
      </c>
      <c r="F12" s="17" t="n">
        <f aca="false">COUNTIF($G12:$BN12,F$9)</f>
        <v>0</v>
      </c>
      <c r="G12" s="18" t="s">
        <v>9</v>
      </c>
      <c r="H12" s="18" t="s">
        <v>10</v>
      </c>
      <c r="I12" s="18" t="s">
        <v>9</v>
      </c>
      <c r="J12" s="18" t="s">
        <v>9</v>
      </c>
      <c r="K12" s="18" t="s">
        <v>9</v>
      </c>
      <c r="L12" s="18" t="s">
        <v>9</v>
      </c>
      <c r="M12" s="18" t="s">
        <v>9</v>
      </c>
      <c r="N12" s="18" t="s">
        <v>9</v>
      </c>
      <c r="O12" s="18" t="s">
        <v>10</v>
      </c>
      <c r="P12" s="18" t="s">
        <v>10</v>
      </c>
      <c r="Q12" s="18" t="s">
        <v>9</v>
      </c>
      <c r="R12" s="18" t="s">
        <v>17</v>
      </c>
      <c r="S12" s="18" t="s">
        <v>10</v>
      </c>
      <c r="T12" s="18" t="s">
        <v>9</v>
      </c>
      <c r="U12" s="18" t="s">
        <v>9</v>
      </c>
      <c r="V12" s="18" t="s">
        <v>9</v>
      </c>
      <c r="W12" s="18" t="s">
        <v>9</v>
      </c>
      <c r="X12" s="18" t="s">
        <v>9</v>
      </c>
      <c r="Y12" s="18" t="s">
        <v>10</v>
      </c>
      <c r="Z12" s="18" t="s">
        <v>10</v>
      </c>
      <c r="AA12" s="18" t="s">
        <v>9</v>
      </c>
      <c r="AB12" s="18" t="s">
        <v>9</v>
      </c>
      <c r="AC12" s="18" t="s">
        <v>17</v>
      </c>
      <c r="AD12" s="18" t="s">
        <v>17</v>
      </c>
      <c r="AE12" s="18" t="s">
        <v>17</v>
      </c>
      <c r="AF12" s="18" t="s">
        <v>17</v>
      </c>
      <c r="AG12" s="18" t="s">
        <v>10</v>
      </c>
      <c r="AH12" s="18" t="s">
        <v>10</v>
      </c>
      <c r="AI12" s="18" t="s">
        <v>10</v>
      </c>
      <c r="AJ12" s="18" t="s">
        <v>10</v>
      </c>
      <c r="AK12" s="18" t="s">
        <v>10</v>
      </c>
      <c r="AL12" s="18" t="s">
        <v>9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41" t="n">
        <v>7</v>
      </c>
      <c r="B13" s="42" t="n">
        <v>26260</v>
      </c>
      <c r="C13" s="43" t="s">
        <v>76</v>
      </c>
      <c r="D13" s="17" t="n">
        <f aca="false">COUNTIF($G13:$BN13,D$9)</f>
        <v>10</v>
      </c>
      <c r="E13" s="17" t="n">
        <f aca="false">COUNTIF($G13:$BN13,E$9)</f>
        <v>24</v>
      </c>
      <c r="F13" s="17" t="n">
        <f aca="false">COUNTIF($G13:$BN13,F$9)</f>
        <v>1</v>
      </c>
      <c r="G13" s="18" t="s">
        <v>9</v>
      </c>
      <c r="H13" s="18" t="s">
        <v>9</v>
      </c>
      <c r="I13" s="18" t="s">
        <v>9</v>
      </c>
      <c r="J13" s="18" t="s">
        <v>9</v>
      </c>
      <c r="K13" s="18" t="s">
        <v>10</v>
      </c>
      <c r="L13" s="18" t="s">
        <v>9</v>
      </c>
      <c r="M13" s="18" t="s">
        <v>9</v>
      </c>
      <c r="N13" s="18" t="s">
        <v>9</v>
      </c>
      <c r="O13" s="18" t="s">
        <v>9</v>
      </c>
      <c r="P13" s="18" t="s">
        <v>11</v>
      </c>
      <c r="Q13" s="18" t="s">
        <v>9</v>
      </c>
      <c r="R13" s="18" t="s">
        <v>17</v>
      </c>
      <c r="S13" s="18" t="s">
        <v>10</v>
      </c>
      <c r="T13" s="18" t="s">
        <v>10</v>
      </c>
      <c r="U13" s="18" t="s">
        <v>10</v>
      </c>
      <c r="V13" s="18" t="s">
        <v>10</v>
      </c>
      <c r="W13" s="18" t="s">
        <v>10</v>
      </c>
      <c r="X13" s="18" t="s">
        <v>10</v>
      </c>
      <c r="Y13" s="18" t="s">
        <v>9</v>
      </c>
      <c r="Z13" s="18" t="s">
        <v>10</v>
      </c>
      <c r="AA13" s="18" t="s">
        <v>10</v>
      </c>
      <c r="AB13" s="18" t="s">
        <v>10</v>
      </c>
      <c r="AC13" s="18" t="s">
        <v>17</v>
      </c>
      <c r="AD13" s="18" t="s">
        <v>17</v>
      </c>
      <c r="AE13" s="18" t="s">
        <v>17</v>
      </c>
      <c r="AF13" s="18" t="s">
        <v>17</v>
      </c>
      <c r="AG13" s="18" t="s">
        <v>10</v>
      </c>
      <c r="AH13" s="18" t="s">
        <v>10</v>
      </c>
      <c r="AI13" s="18" t="s">
        <v>10</v>
      </c>
      <c r="AJ13" s="18" t="s">
        <v>10</v>
      </c>
      <c r="AK13" s="18" t="s">
        <v>10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41" t="n">
        <v>8</v>
      </c>
      <c r="B14" s="42" t="n">
        <v>25162</v>
      </c>
      <c r="C14" s="43" t="s">
        <v>77</v>
      </c>
      <c r="D14" s="17" t="n">
        <f aca="false">COUNTIF($G14:$BN14,D$9)</f>
        <v>27</v>
      </c>
      <c r="E14" s="17" t="n">
        <f aca="false">COUNTIF($G14:$BN14,E$9)</f>
        <v>6</v>
      </c>
      <c r="F14" s="17" t="n">
        <f aca="false">COUNTIF($G14:$BN14,F$9)</f>
        <v>2</v>
      </c>
      <c r="G14" s="18" t="s">
        <v>9</v>
      </c>
      <c r="H14" s="18" t="s">
        <v>9</v>
      </c>
      <c r="I14" s="18" t="s">
        <v>9</v>
      </c>
      <c r="J14" s="18" t="s">
        <v>9</v>
      </c>
      <c r="K14" s="18" t="s">
        <v>9</v>
      </c>
      <c r="L14" s="18" t="s">
        <v>9</v>
      </c>
      <c r="M14" s="18" t="s">
        <v>9</v>
      </c>
      <c r="N14" s="18" t="s">
        <v>9</v>
      </c>
      <c r="O14" s="18" t="s">
        <v>9</v>
      </c>
      <c r="P14" s="18" t="s">
        <v>9</v>
      </c>
      <c r="Q14" s="18" t="s">
        <v>11</v>
      </c>
      <c r="R14" s="18" t="s">
        <v>17</v>
      </c>
      <c r="S14" s="18" t="s">
        <v>9</v>
      </c>
      <c r="T14" s="18" t="s">
        <v>9</v>
      </c>
      <c r="U14" s="18" t="s">
        <v>9</v>
      </c>
      <c r="V14" s="18" t="s">
        <v>9</v>
      </c>
      <c r="W14" s="18" t="s">
        <v>11</v>
      </c>
      <c r="X14" s="18" t="s">
        <v>9</v>
      </c>
      <c r="Y14" s="18" t="s">
        <v>9</v>
      </c>
      <c r="Z14" s="18" t="s">
        <v>9</v>
      </c>
      <c r="AA14" s="18" t="s">
        <v>9</v>
      </c>
      <c r="AB14" s="18" t="s">
        <v>9</v>
      </c>
      <c r="AC14" s="18" t="s">
        <v>17</v>
      </c>
      <c r="AD14" s="18" t="s">
        <v>17</v>
      </c>
      <c r="AE14" s="18" t="s">
        <v>17</v>
      </c>
      <c r="AF14" s="18" t="s">
        <v>17</v>
      </c>
      <c r="AG14" s="18" t="s">
        <v>10</v>
      </c>
      <c r="AH14" s="18" t="s">
        <v>10</v>
      </c>
      <c r="AI14" s="18" t="s">
        <v>10</v>
      </c>
      <c r="AJ14" s="18" t="s">
        <v>10</v>
      </c>
      <c r="AK14" s="18" t="s">
        <v>9</v>
      </c>
      <c r="AL14" s="18" t="s">
        <v>9</v>
      </c>
      <c r="AM14" s="18" t="s">
        <v>10</v>
      </c>
      <c r="AN14" s="18" t="s">
        <v>9</v>
      </c>
      <c r="AO14" s="18" t="s">
        <v>9</v>
      </c>
      <c r="AP14" s="18" t="s">
        <v>9</v>
      </c>
      <c r="AQ14" s="18" t="s">
        <v>9</v>
      </c>
      <c r="AR14" s="18" t="s">
        <v>9</v>
      </c>
      <c r="AS14" s="18" t="s">
        <v>9</v>
      </c>
      <c r="AT14" s="18" t="s">
        <v>10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41" t="n">
        <v>9</v>
      </c>
      <c r="B15" s="42" t="n">
        <v>25191</v>
      </c>
      <c r="C15" s="43" t="s">
        <v>78</v>
      </c>
      <c r="D15" s="17" t="n">
        <f aca="false">COUNTIF($G15:$BN15,D$9)</f>
        <v>7</v>
      </c>
      <c r="E15" s="17" t="n">
        <f aca="false">COUNTIF($G15:$BN15,E$9)</f>
        <v>26</v>
      </c>
      <c r="F15" s="17" t="n">
        <f aca="false">COUNTIF($G15:$BN15,F$9)</f>
        <v>2</v>
      </c>
      <c r="G15" s="18" t="s">
        <v>9</v>
      </c>
      <c r="H15" s="18" t="s">
        <v>9</v>
      </c>
      <c r="I15" s="18" t="s">
        <v>10</v>
      </c>
      <c r="J15" s="18" t="s">
        <v>9</v>
      </c>
      <c r="K15" s="18" t="s">
        <v>10</v>
      </c>
      <c r="L15" s="18" t="s">
        <v>9</v>
      </c>
      <c r="M15" s="18" t="s">
        <v>10</v>
      </c>
      <c r="N15" s="18" t="s">
        <v>10</v>
      </c>
      <c r="O15" s="18" t="s">
        <v>10</v>
      </c>
      <c r="P15" s="18" t="s">
        <v>9</v>
      </c>
      <c r="Q15" s="18" t="s">
        <v>10</v>
      </c>
      <c r="R15" s="18" t="s">
        <v>17</v>
      </c>
      <c r="S15" s="18" t="s">
        <v>10</v>
      </c>
      <c r="T15" s="18" t="s">
        <v>10</v>
      </c>
      <c r="U15" s="18" t="s">
        <v>11</v>
      </c>
      <c r="V15" s="18" t="s">
        <v>9</v>
      </c>
      <c r="W15" s="18" t="s">
        <v>11</v>
      </c>
      <c r="X15" s="18" t="s">
        <v>10</v>
      </c>
      <c r="Y15" s="18" t="s">
        <v>9</v>
      </c>
      <c r="Z15" s="18" t="s">
        <v>10</v>
      </c>
      <c r="AA15" s="18" t="s">
        <v>10</v>
      </c>
      <c r="AB15" s="18" t="s">
        <v>10</v>
      </c>
      <c r="AC15" s="18" t="s">
        <v>17</v>
      </c>
      <c r="AD15" s="18" t="s">
        <v>17</v>
      </c>
      <c r="AE15" s="18" t="s">
        <v>17</v>
      </c>
      <c r="AF15" s="18" t="s">
        <v>17</v>
      </c>
      <c r="AG15" s="18" t="s">
        <v>10</v>
      </c>
      <c r="AH15" s="18" t="s">
        <v>10</v>
      </c>
      <c r="AI15" s="18" t="s">
        <v>10</v>
      </c>
      <c r="AJ15" s="18" t="s">
        <v>10</v>
      </c>
      <c r="AK15" s="18" t="s">
        <v>10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41" t="n">
        <v>10</v>
      </c>
      <c r="B16" s="42" t="n">
        <v>25193</v>
      </c>
      <c r="C16" s="43" t="s">
        <v>79</v>
      </c>
      <c r="D16" s="17" t="n">
        <f aca="false">COUNTIF($G16:$BN16,D$9)</f>
        <v>18</v>
      </c>
      <c r="E16" s="17" t="n">
        <f aca="false">COUNTIF($G16:$BN16,E$9)</f>
        <v>10</v>
      </c>
      <c r="F16" s="17" t="n">
        <f aca="false">COUNTIF($G16:$BN16,F$9)</f>
        <v>1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 t="s">
        <v>9</v>
      </c>
      <c r="M16" s="18" t="s">
        <v>9</v>
      </c>
      <c r="N16" s="18" t="s">
        <v>9</v>
      </c>
      <c r="O16" s="18" t="s">
        <v>9</v>
      </c>
      <c r="P16" s="18" t="s">
        <v>9</v>
      </c>
      <c r="Q16" s="18" t="s">
        <v>10</v>
      </c>
      <c r="R16" s="18" t="s">
        <v>17</v>
      </c>
      <c r="S16" s="18" t="s">
        <v>10</v>
      </c>
      <c r="T16" s="18" t="s">
        <v>9</v>
      </c>
      <c r="U16" s="18" t="s">
        <v>10</v>
      </c>
      <c r="V16" s="18" t="s">
        <v>9</v>
      </c>
      <c r="W16" s="18" t="s">
        <v>11</v>
      </c>
      <c r="X16" s="18" t="s">
        <v>9</v>
      </c>
      <c r="Y16" s="18" t="s">
        <v>9</v>
      </c>
      <c r="Z16" s="18" t="s">
        <v>10</v>
      </c>
      <c r="AA16" s="18" t="s">
        <v>9</v>
      </c>
      <c r="AB16" s="18" t="s">
        <v>9</v>
      </c>
      <c r="AC16" s="18" t="s">
        <v>17</v>
      </c>
      <c r="AD16" s="18" t="s">
        <v>17</v>
      </c>
      <c r="AE16" s="18" t="s">
        <v>17</v>
      </c>
      <c r="AF16" s="18" t="s">
        <v>17</v>
      </c>
      <c r="AG16" s="18" t="s">
        <v>10</v>
      </c>
      <c r="AH16" s="18" t="s">
        <v>10</v>
      </c>
      <c r="AI16" s="18" t="s">
        <v>9</v>
      </c>
      <c r="AJ16" s="18" t="s">
        <v>10</v>
      </c>
      <c r="AK16" s="18" t="s">
        <v>9</v>
      </c>
      <c r="AL16" s="18" t="s">
        <v>10</v>
      </c>
      <c r="AM16" s="18" t="s">
        <v>10</v>
      </c>
      <c r="AN16" s="18" t="s">
        <v>10</v>
      </c>
      <c r="AO16" s="18" t="s">
        <v>57</v>
      </c>
      <c r="AP16" s="18" t="s">
        <v>57</v>
      </c>
      <c r="AQ16" s="18" t="s">
        <v>57</v>
      </c>
      <c r="AR16" s="18" t="s">
        <v>57</v>
      </c>
      <c r="AS16" s="18" t="s">
        <v>57</v>
      </c>
      <c r="AT16" s="18" t="s">
        <v>57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41" t="n">
        <v>11</v>
      </c>
      <c r="B17" s="42" t="n">
        <v>199</v>
      </c>
      <c r="C17" s="43" t="s">
        <v>80</v>
      </c>
      <c r="D17" s="17" t="n">
        <f aca="false">COUNTIF($G17:$BN17,D$9)</f>
        <v>24</v>
      </c>
      <c r="E17" s="17" t="n">
        <f aca="false">COUNTIF($G17:$BN17,E$9)</f>
        <v>10</v>
      </c>
      <c r="F17" s="17" t="n">
        <f aca="false">COUNTIF($G17:$BN17,F$9)</f>
        <v>1</v>
      </c>
      <c r="G17" s="18" t="s">
        <v>9</v>
      </c>
      <c r="H17" s="18" t="s">
        <v>9</v>
      </c>
      <c r="I17" s="18" t="s">
        <v>9</v>
      </c>
      <c r="J17" s="18" t="s">
        <v>10</v>
      </c>
      <c r="K17" s="18" t="s">
        <v>9</v>
      </c>
      <c r="L17" s="18" t="s">
        <v>9</v>
      </c>
      <c r="M17" s="18" t="s">
        <v>10</v>
      </c>
      <c r="N17" s="18" t="s">
        <v>9</v>
      </c>
      <c r="O17" s="18" t="s">
        <v>9</v>
      </c>
      <c r="P17" s="18" t="s">
        <v>10</v>
      </c>
      <c r="Q17" s="18" t="s">
        <v>9</v>
      </c>
      <c r="R17" s="18" t="s">
        <v>17</v>
      </c>
      <c r="S17" s="18" t="s">
        <v>10</v>
      </c>
      <c r="T17" s="18" t="s">
        <v>9</v>
      </c>
      <c r="U17" s="18" t="s">
        <v>9</v>
      </c>
      <c r="V17" s="18" t="s">
        <v>9</v>
      </c>
      <c r="W17" s="18" t="s">
        <v>11</v>
      </c>
      <c r="X17" s="18" t="s">
        <v>9</v>
      </c>
      <c r="Y17" s="18" t="s">
        <v>9</v>
      </c>
      <c r="Z17" s="18" t="s">
        <v>9</v>
      </c>
      <c r="AA17" s="18" t="s">
        <v>9</v>
      </c>
      <c r="AB17" s="18" t="s">
        <v>9</v>
      </c>
      <c r="AC17" s="18" t="s">
        <v>17</v>
      </c>
      <c r="AD17" s="18" t="s">
        <v>17</v>
      </c>
      <c r="AE17" s="18" t="s">
        <v>17</v>
      </c>
      <c r="AF17" s="18" t="s">
        <v>17</v>
      </c>
      <c r="AG17" s="18" t="s">
        <v>10</v>
      </c>
      <c r="AH17" s="18" t="s">
        <v>10</v>
      </c>
      <c r="AI17" s="18" t="s">
        <v>10</v>
      </c>
      <c r="AJ17" s="18" t="s">
        <v>10</v>
      </c>
      <c r="AK17" s="18" t="s">
        <v>9</v>
      </c>
      <c r="AL17" s="18" t="s">
        <v>9</v>
      </c>
      <c r="AM17" s="18" t="s">
        <v>10</v>
      </c>
      <c r="AN17" s="18" t="s">
        <v>9</v>
      </c>
      <c r="AO17" s="18" t="s">
        <v>9</v>
      </c>
      <c r="AP17" s="18" t="s">
        <v>9</v>
      </c>
      <c r="AQ17" s="18" t="s">
        <v>9</v>
      </c>
      <c r="AR17" s="18" t="s">
        <v>9</v>
      </c>
      <c r="AS17" s="18" t="s">
        <v>9</v>
      </c>
      <c r="AT17" s="18" t="s">
        <v>10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41" t="n">
        <v>12</v>
      </c>
      <c r="B18" s="42" t="n">
        <v>25159</v>
      </c>
      <c r="C18" s="43" t="s">
        <v>81</v>
      </c>
      <c r="D18" s="17" t="n">
        <f aca="false">COUNTIF($G18:$BN18,D$9)</f>
        <v>30</v>
      </c>
      <c r="E18" s="17" t="n">
        <f aca="false">COUNTIF($G18:$BN18,E$9)</f>
        <v>5</v>
      </c>
      <c r="F18" s="17" t="n">
        <f aca="false">COUNTIF($G18:$BN18,F$9)</f>
        <v>0</v>
      </c>
      <c r="G18" s="18" t="s">
        <v>9</v>
      </c>
      <c r="H18" s="18" t="s">
        <v>9</v>
      </c>
      <c r="I18" s="18" t="s">
        <v>9</v>
      </c>
      <c r="J18" s="18" t="s">
        <v>9</v>
      </c>
      <c r="K18" s="18" t="s">
        <v>9</v>
      </c>
      <c r="L18" s="18" t="s">
        <v>9</v>
      </c>
      <c r="M18" s="18" t="s">
        <v>9</v>
      </c>
      <c r="N18" s="18" t="s">
        <v>9</v>
      </c>
      <c r="O18" s="18" t="s">
        <v>9</v>
      </c>
      <c r="P18" s="18" t="s">
        <v>9</v>
      </c>
      <c r="Q18" s="18" t="s">
        <v>9</v>
      </c>
      <c r="R18" s="18" t="s">
        <v>17</v>
      </c>
      <c r="S18" s="18" t="s">
        <v>9</v>
      </c>
      <c r="T18" s="18" t="s">
        <v>9</v>
      </c>
      <c r="U18" s="18" t="s">
        <v>9</v>
      </c>
      <c r="V18" s="18" t="s">
        <v>9</v>
      </c>
      <c r="W18" s="18" t="s">
        <v>9</v>
      </c>
      <c r="X18" s="18" t="s">
        <v>9</v>
      </c>
      <c r="Y18" s="18" t="s">
        <v>9</v>
      </c>
      <c r="Z18" s="18" t="s">
        <v>9</v>
      </c>
      <c r="AA18" s="18" t="s">
        <v>10</v>
      </c>
      <c r="AB18" s="18" t="s">
        <v>9</v>
      </c>
      <c r="AC18" s="18" t="s">
        <v>17</v>
      </c>
      <c r="AD18" s="18" t="s">
        <v>17</v>
      </c>
      <c r="AE18" s="18" t="s">
        <v>17</v>
      </c>
      <c r="AF18" s="18" t="s">
        <v>17</v>
      </c>
      <c r="AG18" s="18" t="s">
        <v>10</v>
      </c>
      <c r="AH18" s="18" t="s">
        <v>10</v>
      </c>
      <c r="AI18" s="18" t="s">
        <v>9</v>
      </c>
      <c r="AJ18" s="18" t="s">
        <v>9</v>
      </c>
      <c r="AK18" s="18" t="s">
        <v>9</v>
      </c>
      <c r="AL18" s="18" t="s">
        <v>10</v>
      </c>
      <c r="AM18" s="18" t="s">
        <v>9</v>
      </c>
      <c r="AN18" s="18" t="s">
        <v>9</v>
      </c>
      <c r="AO18" s="18" t="s">
        <v>9</v>
      </c>
      <c r="AP18" s="18" t="s">
        <v>9</v>
      </c>
      <c r="AQ18" s="18" t="s">
        <v>9</v>
      </c>
      <c r="AR18" s="18" t="s">
        <v>9</v>
      </c>
      <c r="AS18" s="18" t="s">
        <v>9</v>
      </c>
      <c r="AT18" s="18" t="s">
        <v>10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41" t="n">
        <v>13</v>
      </c>
      <c r="B19" s="42" t="n">
        <v>25156</v>
      </c>
      <c r="C19" s="43" t="s">
        <v>82</v>
      </c>
      <c r="D19" s="17" t="n">
        <f aca="false">COUNTIF($G19:$BN19,D$9)</f>
        <v>19</v>
      </c>
      <c r="E19" s="17" t="n">
        <f aca="false">COUNTIF($G19:$BN19,E$9)</f>
        <v>15</v>
      </c>
      <c r="F19" s="17" t="n">
        <f aca="false">COUNTIF($G19:$BN19,F$9)</f>
        <v>1</v>
      </c>
      <c r="G19" s="18" t="s">
        <v>9</v>
      </c>
      <c r="H19" s="18" t="s">
        <v>9</v>
      </c>
      <c r="I19" s="18" t="s">
        <v>9</v>
      </c>
      <c r="J19" s="18" t="s">
        <v>10</v>
      </c>
      <c r="K19" s="18" t="s">
        <v>9</v>
      </c>
      <c r="L19" s="18" t="s">
        <v>9</v>
      </c>
      <c r="M19" s="18" t="s">
        <v>10</v>
      </c>
      <c r="N19" s="18" t="s">
        <v>9</v>
      </c>
      <c r="O19" s="18" t="s">
        <v>9</v>
      </c>
      <c r="P19" s="18" t="s">
        <v>10</v>
      </c>
      <c r="Q19" s="18" t="s">
        <v>9</v>
      </c>
      <c r="R19" s="18" t="s">
        <v>17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10</v>
      </c>
      <c r="Z19" s="18" t="s">
        <v>9</v>
      </c>
      <c r="AA19" s="18" t="s">
        <v>10</v>
      </c>
      <c r="AB19" s="18" t="s">
        <v>9</v>
      </c>
      <c r="AC19" s="18" t="s">
        <v>17</v>
      </c>
      <c r="AD19" s="18" t="s">
        <v>17</v>
      </c>
      <c r="AE19" s="18" t="s">
        <v>17</v>
      </c>
      <c r="AF19" s="18" t="s">
        <v>17</v>
      </c>
      <c r="AG19" s="18" t="s">
        <v>9</v>
      </c>
      <c r="AH19" s="18" t="s">
        <v>10</v>
      </c>
      <c r="AI19" s="18" t="s">
        <v>10</v>
      </c>
      <c r="AJ19" s="18" t="s">
        <v>10</v>
      </c>
      <c r="AK19" s="18" t="s">
        <v>9</v>
      </c>
      <c r="AL19" s="18" t="s">
        <v>10</v>
      </c>
      <c r="AM19" s="18" t="s">
        <v>11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9</v>
      </c>
      <c r="AT19" s="18" t="s">
        <v>10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41" t="n">
        <v>14</v>
      </c>
      <c r="B20" s="42" t="n">
        <v>25214</v>
      </c>
      <c r="C20" s="43" t="s">
        <v>83</v>
      </c>
      <c r="D20" s="17" t="n">
        <f aca="false">COUNTIF($G20:$BN20,D$9)</f>
        <v>15</v>
      </c>
      <c r="E20" s="17" t="n">
        <f aca="false">COUNTIF($G20:$BN20,E$9)</f>
        <v>8</v>
      </c>
      <c r="F20" s="17" t="n">
        <f aca="false">COUNTIF($G20:$BN20,F$9)</f>
        <v>1</v>
      </c>
      <c r="G20" s="18" t="s">
        <v>11</v>
      </c>
      <c r="H20" s="18" t="s">
        <v>9</v>
      </c>
      <c r="I20" s="18" t="s">
        <v>9</v>
      </c>
      <c r="J20" s="18" t="s">
        <v>9</v>
      </c>
      <c r="K20" s="18" t="s">
        <v>9</v>
      </c>
      <c r="L20" s="18" t="s">
        <v>9</v>
      </c>
      <c r="M20" s="18" t="s">
        <v>9</v>
      </c>
      <c r="N20" s="18" t="s">
        <v>9</v>
      </c>
      <c r="O20" s="18" t="s">
        <v>9</v>
      </c>
      <c r="P20" s="18" t="s">
        <v>9</v>
      </c>
      <c r="Q20" s="18" t="s">
        <v>9</v>
      </c>
      <c r="R20" s="18" t="s">
        <v>17</v>
      </c>
      <c r="S20" s="18" t="s">
        <v>9</v>
      </c>
      <c r="T20" s="18" t="s">
        <v>9</v>
      </c>
      <c r="U20" s="18" t="s">
        <v>9</v>
      </c>
      <c r="V20" s="18" t="s">
        <v>9</v>
      </c>
      <c r="W20" s="18" t="s">
        <v>10</v>
      </c>
      <c r="X20" s="18" t="s">
        <v>9</v>
      </c>
      <c r="Y20" s="18" t="s">
        <v>10</v>
      </c>
      <c r="Z20" s="18" t="s">
        <v>10</v>
      </c>
      <c r="AA20" s="18" t="s">
        <v>10</v>
      </c>
      <c r="AB20" s="18" t="s">
        <v>10</v>
      </c>
      <c r="AC20" s="18" t="s">
        <v>17</v>
      </c>
      <c r="AD20" s="18" t="s">
        <v>17</v>
      </c>
      <c r="AE20" s="18" t="s">
        <v>17</v>
      </c>
      <c r="AF20" s="18" t="s">
        <v>17</v>
      </c>
      <c r="AG20" s="18" t="s">
        <v>10</v>
      </c>
      <c r="AH20" s="18" t="s">
        <v>10</v>
      </c>
      <c r="AI20" s="18" t="s">
        <v>10</v>
      </c>
      <c r="AJ20" s="18" t="s">
        <v>57</v>
      </c>
      <c r="AK20" s="18" t="s">
        <v>57</v>
      </c>
      <c r="AL20" s="18" t="s">
        <v>57</v>
      </c>
      <c r="AM20" s="18" t="s">
        <v>57</v>
      </c>
      <c r="AN20" s="18" t="s">
        <v>57</v>
      </c>
      <c r="AO20" s="18" t="s">
        <v>57</v>
      </c>
      <c r="AP20" s="18" t="s">
        <v>57</v>
      </c>
      <c r="AQ20" s="18" t="s">
        <v>57</v>
      </c>
      <c r="AR20" s="18" t="s">
        <v>57</v>
      </c>
      <c r="AS20" s="18" t="s">
        <v>57</v>
      </c>
      <c r="AT20" s="18" t="s">
        <v>57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41" t="n">
        <v>15</v>
      </c>
      <c r="B21" s="44"/>
      <c r="C21" s="43" t="s">
        <v>84</v>
      </c>
      <c r="D21" s="17" t="n">
        <f aca="false">COUNTIF($G21:$BN21,D$9)</f>
        <v>28</v>
      </c>
      <c r="E21" s="17" t="n">
        <f aca="false">COUNTIF($G21:$BN21,E$9)</f>
        <v>7</v>
      </c>
      <c r="F21" s="17" t="n">
        <f aca="false">COUNTIF($G21:$BN21,F$9)</f>
        <v>0</v>
      </c>
      <c r="G21" s="18" t="s">
        <v>10</v>
      </c>
      <c r="H21" s="18" t="s">
        <v>10</v>
      </c>
      <c r="I21" s="18" t="s">
        <v>9</v>
      </c>
      <c r="J21" s="18" t="s">
        <v>10</v>
      </c>
      <c r="K21" s="18" t="s">
        <v>9</v>
      </c>
      <c r="L21" s="18" t="s">
        <v>9</v>
      </c>
      <c r="M21" s="18" t="s">
        <v>9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17</v>
      </c>
      <c r="S21" s="18" t="s">
        <v>9</v>
      </c>
      <c r="T21" s="18" t="s">
        <v>9</v>
      </c>
      <c r="U21" s="18" t="s">
        <v>9</v>
      </c>
      <c r="V21" s="18" t="s">
        <v>9</v>
      </c>
      <c r="W21" s="18" t="s">
        <v>9</v>
      </c>
      <c r="X21" s="18" t="s">
        <v>9</v>
      </c>
      <c r="Y21" s="18" t="s">
        <v>9</v>
      </c>
      <c r="Z21" s="18" t="s">
        <v>9</v>
      </c>
      <c r="AA21" s="18" t="s">
        <v>10</v>
      </c>
      <c r="AB21" s="18" t="s">
        <v>9</v>
      </c>
      <c r="AC21" s="18" t="s">
        <v>17</v>
      </c>
      <c r="AD21" s="18" t="s">
        <v>17</v>
      </c>
      <c r="AE21" s="18" t="s">
        <v>17</v>
      </c>
      <c r="AF21" s="18" t="s">
        <v>17</v>
      </c>
      <c r="AG21" s="18" t="s">
        <v>10</v>
      </c>
      <c r="AH21" s="18" t="s">
        <v>9</v>
      </c>
      <c r="AI21" s="18" t="s">
        <v>9</v>
      </c>
      <c r="AJ21" s="18" t="s">
        <v>10</v>
      </c>
      <c r="AK21" s="18" t="s">
        <v>9</v>
      </c>
      <c r="AL21" s="18" t="s">
        <v>9</v>
      </c>
      <c r="AM21" s="18" t="s">
        <v>9</v>
      </c>
      <c r="AN21" s="18" t="s">
        <v>9</v>
      </c>
      <c r="AO21" s="18" t="s">
        <v>9</v>
      </c>
      <c r="AP21" s="18" t="s">
        <v>9</v>
      </c>
      <c r="AQ21" s="18" t="s">
        <v>9</v>
      </c>
      <c r="AR21" s="18" t="s">
        <v>9</v>
      </c>
      <c r="AS21" s="18" t="s">
        <v>9</v>
      </c>
      <c r="AT21" s="18" t="s">
        <v>10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41" t="n">
        <v>16</v>
      </c>
      <c r="B22" s="45" t="n">
        <v>25153</v>
      </c>
      <c r="C22" s="43" t="s">
        <v>85</v>
      </c>
      <c r="D22" s="17" t="n">
        <f aca="false">COUNTIF($G22:$BN22,D$9)</f>
        <v>8</v>
      </c>
      <c r="E22" s="17" t="n">
        <f aca="false">COUNTIF($G22:$BN22,E$9)</f>
        <v>15</v>
      </c>
      <c r="F22" s="17" t="n">
        <f aca="false">COUNTIF($G22:$BN22,F$9)</f>
        <v>1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9</v>
      </c>
      <c r="T22" s="18" t="s">
        <v>9</v>
      </c>
      <c r="U22" s="18" t="s">
        <v>9</v>
      </c>
      <c r="V22" s="18" t="s">
        <v>9</v>
      </c>
      <c r="W22" s="18" t="s">
        <v>11</v>
      </c>
      <c r="X22" s="18" t="s">
        <v>9</v>
      </c>
      <c r="Y22" s="18" t="s">
        <v>9</v>
      </c>
      <c r="Z22" s="18" t="s">
        <v>9</v>
      </c>
      <c r="AA22" s="18" t="s">
        <v>10</v>
      </c>
      <c r="AB22" s="18" t="s">
        <v>9</v>
      </c>
      <c r="AC22" s="18" t="s">
        <v>17</v>
      </c>
      <c r="AD22" s="18" t="s">
        <v>17</v>
      </c>
      <c r="AE22" s="18" t="s">
        <v>17</v>
      </c>
      <c r="AF22" s="18" t="s">
        <v>17</v>
      </c>
      <c r="AG22" s="18" t="s">
        <v>10</v>
      </c>
      <c r="AH22" s="18" t="s">
        <v>10</v>
      </c>
      <c r="AI22" s="18" t="s">
        <v>10</v>
      </c>
      <c r="AJ22" s="18" t="s">
        <v>10</v>
      </c>
      <c r="AK22" s="18" t="s">
        <v>10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41" t="n">
        <v>17</v>
      </c>
      <c r="B23" s="45" t="n">
        <v>223</v>
      </c>
      <c r="C23" s="43" t="s">
        <v>86</v>
      </c>
      <c r="D23" s="17" t="n">
        <f aca="false">COUNTIF($G23:$BN23,D$9)</f>
        <v>22</v>
      </c>
      <c r="E23" s="17" t="n">
        <f aca="false">COUNTIF($G23:$BN23,E$9)</f>
        <v>2</v>
      </c>
      <c r="F23" s="17" t="n">
        <f aca="false">COUNTIF($G23:$BN23,F$9)</f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9</v>
      </c>
      <c r="T23" s="18" t="s">
        <v>9</v>
      </c>
      <c r="U23" s="18" t="s">
        <v>9</v>
      </c>
      <c r="V23" s="18" t="s">
        <v>9</v>
      </c>
      <c r="W23" s="18" t="s">
        <v>9</v>
      </c>
      <c r="X23" s="18" t="s">
        <v>9</v>
      </c>
      <c r="Y23" s="18" t="s">
        <v>9</v>
      </c>
      <c r="Z23" s="18" t="s">
        <v>9</v>
      </c>
      <c r="AA23" s="18" t="s">
        <v>9</v>
      </c>
      <c r="AB23" s="18" t="s">
        <v>9</v>
      </c>
      <c r="AC23" s="18" t="s">
        <v>17</v>
      </c>
      <c r="AD23" s="18" t="s">
        <v>17</v>
      </c>
      <c r="AE23" s="18" t="s">
        <v>17</v>
      </c>
      <c r="AF23" s="18" t="s">
        <v>17</v>
      </c>
      <c r="AG23" s="18" t="s">
        <v>9</v>
      </c>
      <c r="AH23" s="18" t="s">
        <v>9</v>
      </c>
      <c r="AI23" s="18" t="s">
        <v>10</v>
      </c>
      <c r="AJ23" s="18" t="s">
        <v>9</v>
      </c>
      <c r="AK23" s="18" t="s">
        <v>9</v>
      </c>
      <c r="AL23" s="18" t="s">
        <v>9</v>
      </c>
      <c r="AM23" s="18" t="s">
        <v>9</v>
      </c>
      <c r="AN23" s="18" t="s">
        <v>9</v>
      </c>
      <c r="AO23" s="18" t="s">
        <v>9</v>
      </c>
      <c r="AP23" s="18" t="s">
        <v>9</v>
      </c>
      <c r="AQ23" s="18" t="s">
        <v>9</v>
      </c>
      <c r="AR23" s="18" t="s">
        <v>9</v>
      </c>
      <c r="AS23" s="18" t="s">
        <v>9</v>
      </c>
      <c r="AT23" s="18" t="s">
        <v>10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/>
      <c r="B24" s="46"/>
      <c r="C24" s="17"/>
      <c r="D24" s="17" t="n">
        <f aca="false">COUNTIF($G24:$BN24,D$9)</f>
        <v>0</v>
      </c>
      <c r="E24" s="17" t="n">
        <f aca="false">COUNTIF($G24:$BN24,E$9)</f>
        <v>0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 t="s">
        <v>17</v>
      </c>
      <c r="AD24" s="18" t="s">
        <v>17</v>
      </c>
      <c r="AE24" s="18" t="s">
        <v>17</v>
      </c>
      <c r="AF24" s="18" t="s">
        <v>17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/>
      <c r="B25" s="17"/>
      <c r="C25" s="17"/>
      <c r="D25" s="17" t="n">
        <f aca="false">COUNTIF($G25:$BN25,D$9)</f>
        <v>0</v>
      </c>
      <c r="E25" s="17" t="n">
        <f aca="false">COUNTIF($G25:$BN25,E$9)</f>
        <v>0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mergeCells count="9">
    <mergeCell ref="A1:A8"/>
    <mergeCell ref="B1:B3"/>
    <mergeCell ref="C1:C3"/>
    <mergeCell ref="D1:F8"/>
    <mergeCell ref="G2:U4"/>
    <mergeCell ref="B5:C5"/>
    <mergeCell ref="J6:Q6"/>
    <mergeCell ref="B7:B8"/>
    <mergeCell ref="C7:C8"/>
  </mergeCells>
  <dataValidations count="3">
    <dataValidation allowBlank="true" errorStyle="stop" operator="between" showDropDown="false" showErrorMessage="true" showInputMessage="false" sqref="G10:BN25" type="list">
      <formula1>"P,A,E,OFF DAY,BATCH CHANGED"</formula1>
      <formula2>0</formula2>
    </dataValidation>
    <dataValidation allowBlank="true" errorStyle="stop" operator="between" showDropDown="false" showErrorMessage="true" showInputMessage="false" sqref="B1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7:BN7" type="list">
      <formula1>"SHAKIL,JIHAD,MAM,NAZRUL ISLAM"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15.38"/>
    <col collapsed="false" customWidth="true" hidden="false" outlineLevel="0" max="3" min="3" style="0" width="22.13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29</v>
      </c>
      <c r="G2" s="3" t="s">
        <v>87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46159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46251</v>
      </c>
      <c r="J6" s="8" t="s">
        <v>4</v>
      </c>
      <c r="K6" s="8"/>
      <c r="L6" s="8"/>
      <c r="M6" s="8"/>
      <c r="N6" s="8"/>
      <c r="O6" s="8"/>
      <c r="P6" s="8"/>
      <c r="Q6" s="8"/>
      <c r="AB6" s="38" t="s">
        <v>88</v>
      </c>
      <c r="AE6" s="38" t="s">
        <v>89</v>
      </c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15</v>
      </c>
      <c r="H7" s="9" t="s">
        <v>15</v>
      </c>
      <c r="I7" s="9" t="s">
        <v>15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15</v>
      </c>
      <c r="P7" s="9" t="s">
        <v>15</v>
      </c>
      <c r="Q7" s="9" t="s">
        <v>15</v>
      </c>
      <c r="R7" s="9" t="s">
        <v>15</v>
      </c>
      <c r="S7" s="9" t="s">
        <v>15</v>
      </c>
      <c r="T7" s="9" t="s">
        <v>15</v>
      </c>
      <c r="U7" s="9" t="s">
        <v>15</v>
      </c>
      <c r="V7" s="9" t="s">
        <v>15</v>
      </c>
      <c r="W7" s="9" t="s">
        <v>15</v>
      </c>
      <c r="X7" s="9" t="s">
        <v>15</v>
      </c>
      <c r="Y7" s="9" t="s">
        <v>15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90</v>
      </c>
      <c r="AQ7" s="9" t="s">
        <v>90</v>
      </c>
      <c r="AR7" s="9" t="s">
        <v>90</v>
      </c>
      <c r="AS7" s="9" t="s">
        <v>90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46159</v>
      </c>
      <c r="H9" s="15" t="n">
        <f aca="false">G9+2</f>
        <v>46161</v>
      </c>
      <c r="I9" s="15" t="n">
        <f aca="false">H9+2</f>
        <v>46163</v>
      </c>
      <c r="J9" s="15" t="n">
        <f aca="false">I9+3</f>
        <v>46166</v>
      </c>
      <c r="K9" s="15" t="n">
        <f aca="false">J9+2</f>
        <v>46168</v>
      </c>
      <c r="L9" s="15" t="n">
        <f aca="false">K9+2</f>
        <v>46170</v>
      </c>
      <c r="M9" s="15" t="n">
        <f aca="false">L9+3</f>
        <v>46173</v>
      </c>
      <c r="N9" s="15" t="n">
        <f aca="false">M9+2</f>
        <v>46175</v>
      </c>
      <c r="O9" s="15" t="n">
        <f aca="false">N9+2</f>
        <v>46177</v>
      </c>
      <c r="P9" s="15" t="n">
        <f aca="false">O9+3</f>
        <v>46180</v>
      </c>
      <c r="Q9" s="15" t="n">
        <f aca="false">P9+2</f>
        <v>46182</v>
      </c>
      <c r="R9" s="15" t="n">
        <f aca="false">Q9+2</f>
        <v>46184</v>
      </c>
      <c r="S9" s="15" t="n">
        <f aca="false">R9+3</f>
        <v>46187</v>
      </c>
      <c r="T9" s="15" t="n">
        <f aca="false">S9+2</f>
        <v>46189</v>
      </c>
      <c r="U9" s="15" t="n">
        <f aca="false">T9+2</f>
        <v>46191</v>
      </c>
      <c r="V9" s="15" t="n">
        <f aca="false">U9+3</f>
        <v>46194</v>
      </c>
      <c r="W9" s="15" t="n">
        <f aca="false">V9+2</f>
        <v>46196</v>
      </c>
      <c r="X9" s="15" t="n">
        <f aca="false">W9+2</f>
        <v>46198</v>
      </c>
      <c r="Y9" s="15" t="n">
        <f aca="false">X9+3</f>
        <v>46201</v>
      </c>
      <c r="Z9" s="15" t="n">
        <f aca="false">Y9+2</f>
        <v>46203</v>
      </c>
      <c r="AA9" s="15" t="n">
        <f aca="false">Z9+2</f>
        <v>46205</v>
      </c>
      <c r="AB9" s="15" t="n">
        <f aca="false">AA9+3</f>
        <v>46208</v>
      </c>
      <c r="AC9" s="15" t="n">
        <f aca="false">AB9+2</f>
        <v>46210</v>
      </c>
      <c r="AD9" s="15" t="n">
        <f aca="false">AC9+2</f>
        <v>46212</v>
      </c>
      <c r="AE9" s="15" t="n">
        <f aca="false">AD9+3</f>
        <v>46215</v>
      </c>
      <c r="AF9" s="15" t="n">
        <f aca="false">AE9+2</f>
        <v>46217</v>
      </c>
      <c r="AG9" s="15" t="n">
        <f aca="false">AF9+2</f>
        <v>46219</v>
      </c>
      <c r="AH9" s="15" t="n">
        <f aca="false">AG9+3</f>
        <v>46222</v>
      </c>
      <c r="AI9" s="15" t="n">
        <f aca="false">AH9+2</f>
        <v>46224</v>
      </c>
      <c r="AJ9" s="15" t="n">
        <f aca="false">AI9+2</f>
        <v>46226</v>
      </c>
      <c r="AK9" s="15" t="n">
        <f aca="false">AJ9+3</f>
        <v>46229</v>
      </c>
      <c r="AL9" s="15" t="n">
        <f aca="false">AK9+2</f>
        <v>46231</v>
      </c>
      <c r="AM9" s="15" t="n">
        <f aca="false">AL9+2</f>
        <v>46233</v>
      </c>
      <c r="AN9" s="15" t="n">
        <f aca="false">AM9+3</f>
        <v>46236</v>
      </c>
      <c r="AO9" s="15" t="n">
        <f aca="false">AN9+2</f>
        <v>46238</v>
      </c>
      <c r="AP9" s="15" t="n">
        <f aca="false">AO9+2</f>
        <v>46240</v>
      </c>
      <c r="AQ9" s="15" t="n">
        <f aca="false">AP9+3</f>
        <v>46243</v>
      </c>
      <c r="AR9" s="15" t="n">
        <f aca="false">AQ9+2</f>
        <v>46245</v>
      </c>
      <c r="AS9" s="15" t="n">
        <f aca="false">AR9+2</f>
        <v>46247</v>
      </c>
      <c r="AT9" s="15" t="n">
        <f aca="false">AS9+3</f>
        <v>46250</v>
      </c>
      <c r="AU9" s="15" t="n">
        <f aca="false">AT9+2</f>
        <v>46252</v>
      </c>
      <c r="AV9" s="15" t="n">
        <f aca="false">AU9+2</f>
        <v>46254</v>
      </c>
      <c r="AW9" s="15" t="n">
        <f aca="false">AV9+3</f>
        <v>46257</v>
      </c>
      <c r="AX9" s="15" t="n">
        <f aca="false">AW9+2</f>
        <v>46259</v>
      </c>
      <c r="AY9" s="15" t="n">
        <f aca="false">AX9+2</f>
        <v>46261</v>
      </c>
      <c r="AZ9" s="15" t="n">
        <f aca="false">AY9+3</f>
        <v>46264</v>
      </c>
      <c r="BA9" s="15" t="n">
        <f aca="false">AZ9+2</f>
        <v>46266</v>
      </c>
      <c r="BB9" s="15" t="n">
        <f aca="false">BA9+2</f>
        <v>46268</v>
      </c>
      <c r="BC9" s="15" t="n">
        <f aca="false">BB9+3</f>
        <v>46271</v>
      </c>
      <c r="BD9" s="15" t="n">
        <f aca="false">BC9+2</f>
        <v>46273</v>
      </c>
      <c r="BE9" s="15" t="n">
        <f aca="false">BD9+2</f>
        <v>46275</v>
      </c>
      <c r="BF9" s="15" t="n">
        <f aca="false">BE9+3</f>
        <v>46278</v>
      </c>
      <c r="BG9" s="15" t="n">
        <f aca="false">BF9+2</f>
        <v>46280</v>
      </c>
      <c r="BH9" s="15" t="n">
        <f aca="false">BG9+2</f>
        <v>46282</v>
      </c>
      <c r="BI9" s="15" t="n">
        <f aca="false">BH9+3</f>
        <v>46285</v>
      </c>
      <c r="BJ9" s="15" t="n">
        <f aca="false">BI9+2</f>
        <v>46287</v>
      </c>
      <c r="BK9" s="15" t="n">
        <f aca="false">BJ9+2</f>
        <v>46289</v>
      </c>
      <c r="BL9" s="15" t="n">
        <f aca="false">BK9+3</f>
        <v>46292</v>
      </c>
      <c r="BM9" s="15" t="n">
        <f aca="false">BL9+2</f>
        <v>46294</v>
      </c>
      <c r="BN9" s="15" t="n">
        <f aca="false">BM9+2</f>
        <v>46296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2</v>
      </c>
      <c r="B10" s="17" t="n">
        <v>25201</v>
      </c>
      <c r="C10" s="17" t="s">
        <v>91</v>
      </c>
      <c r="D10" s="17" t="n">
        <f aca="false">COUNTIF($G10:$BN10,D$9)</f>
        <v>13</v>
      </c>
      <c r="E10" s="17" t="n">
        <f aca="false">COUNTIF($G10:$BN10,E$9)</f>
        <v>24</v>
      </c>
      <c r="F10" s="17" t="n">
        <f aca="false">COUNTIF($G10:$BN10,F$9)</f>
        <v>1</v>
      </c>
      <c r="G10" s="18" t="s">
        <v>9</v>
      </c>
      <c r="H10" s="18" t="s">
        <v>9</v>
      </c>
      <c r="I10" s="18" t="s">
        <v>10</v>
      </c>
      <c r="J10" s="18" t="s">
        <v>17</v>
      </c>
      <c r="K10" s="18" t="s">
        <v>17</v>
      </c>
      <c r="L10" s="18" t="s">
        <v>17</v>
      </c>
      <c r="M10" s="18" t="s">
        <v>17</v>
      </c>
      <c r="N10" s="18" t="s">
        <v>17</v>
      </c>
      <c r="O10" s="18" t="s">
        <v>10</v>
      </c>
      <c r="P10" s="18" t="s">
        <v>9</v>
      </c>
      <c r="Q10" s="18" t="s">
        <v>9</v>
      </c>
      <c r="R10" s="18" t="s">
        <v>9</v>
      </c>
      <c r="S10" s="18" t="s">
        <v>10</v>
      </c>
      <c r="T10" s="18" t="s">
        <v>11</v>
      </c>
      <c r="U10" s="18" t="s">
        <v>10</v>
      </c>
      <c r="V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A10" s="18" t="s">
        <v>10</v>
      </c>
      <c r="AB10" s="18" t="s">
        <v>17</v>
      </c>
      <c r="AC10" s="18" t="s">
        <v>10</v>
      </c>
      <c r="AD10" s="18" t="s">
        <v>10</v>
      </c>
      <c r="AE10" s="18" t="s">
        <v>17</v>
      </c>
      <c r="AF10" s="18" t="s">
        <v>10</v>
      </c>
      <c r="AG10" s="18" t="s">
        <v>10</v>
      </c>
      <c r="AH10" s="18" t="s">
        <v>10</v>
      </c>
      <c r="AI10" s="18" t="s">
        <v>10</v>
      </c>
      <c r="AJ10" s="18" t="s">
        <v>10</v>
      </c>
      <c r="AK10" s="18" t="s">
        <v>10</v>
      </c>
      <c r="AL10" s="18" t="s">
        <v>9</v>
      </c>
      <c r="AM10" s="18" t="s">
        <v>9</v>
      </c>
      <c r="AN10" s="18" t="s">
        <v>9</v>
      </c>
      <c r="AO10" s="18" t="s">
        <v>9</v>
      </c>
      <c r="AP10" s="18" t="s">
        <v>9</v>
      </c>
      <c r="AQ10" s="18" t="s">
        <v>9</v>
      </c>
      <c r="AR10" s="18" t="s">
        <v>10</v>
      </c>
      <c r="AS10" s="18" t="s">
        <v>10</v>
      </c>
      <c r="AT10" s="18" t="s">
        <v>9</v>
      </c>
      <c r="AU10" s="18" t="s">
        <v>9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5</v>
      </c>
      <c r="B11" s="17" t="n">
        <v>25214</v>
      </c>
      <c r="C11" s="17" t="s">
        <v>92</v>
      </c>
      <c r="D11" s="17" t="n">
        <f aca="false">COUNTIF($G11:$BN11,D$9)</f>
        <v>31</v>
      </c>
      <c r="E11" s="17" t="n">
        <f aca="false">COUNTIF($G11:$BN11,E$9)</f>
        <v>4</v>
      </c>
      <c r="F11" s="17" t="n">
        <f aca="false">COUNTIF($G11:$BN11,F$9)</f>
        <v>1</v>
      </c>
      <c r="G11" s="18" t="s">
        <v>9</v>
      </c>
      <c r="H11" s="18" t="s">
        <v>9</v>
      </c>
      <c r="I11" s="18" t="s">
        <v>9</v>
      </c>
      <c r="J11" s="18" t="s">
        <v>17</v>
      </c>
      <c r="K11" s="18" t="s">
        <v>17</v>
      </c>
      <c r="L11" s="18" t="s">
        <v>17</v>
      </c>
      <c r="M11" s="18" t="s">
        <v>17</v>
      </c>
      <c r="N11" s="18" t="s">
        <v>17</v>
      </c>
      <c r="O11" s="18" t="s">
        <v>9</v>
      </c>
      <c r="P11" s="18" t="s">
        <v>9</v>
      </c>
      <c r="Q11" s="18" t="s">
        <v>9</v>
      </c>
      <c r="R11" s="18" t="s">
        <v>10</v>
      </c>
      <c r="S11" s="18" t="s">
        <v>10</v>
      </c>
      <c r="T11" s="18" t="s">
        <v>9</v>
      </c>
      <c r="U11" s="18" t="s">
        <v>9</v>
      </c>
      <c r="V11" s="18" t="s">
        <v>9</v>
      </c>
      <c r="W11" s="18" t="s">
        <v>9</v>
      </c>
      <c r="X11" s="18" t="s">
        <v>9</v>
      </c>
      <c r="Y11" s="18" t="s">
        <v>9</v>
      </c>
      <c r="Z11" s="18" t="s">
        <v>9</v>
      </c>
      <c r="AA11" s="18" t="s">
        <v>9</v>
      </c>
      <c r="AB11" s="18" t="s">
        <v>17</v>
      </c>
      <c r="AC11" s="18" t="s">
        <v>9</v>
      </c>
      <c r="AD11" s="18" t="s">
        <v>9</v>
      </c>
      <c r="AE11" s="18" t="s">
        <v>17</v>
      </c>
      <c r="AF11" s="18" t="s">
        <v>9</v>
      </c>
      <c r="AG11" s="18" t="s">
        <v>9</v>
      </c>
      <c r="AH11" s="18" t="s">
        <v>9</v>
      </c>
      <c r="AI11" s="18" t="s">
        <v>9</v>
      </c>
      <c r="AJ11" s="18" t="s">
        <v>11</v>
      </c>
      <c r="AK11" s="18" t="s">
        <v>9</v>
      </c>
      <c r="AL11" s="18" t="s">
        <v>9</v>
      </c>
      <c r="AM11" s="18" t="s">
        <v>9</v>
      </c>
      <c r="AN11" s="18" t="s">
        <v>9</v>
      </c>
      <c r="AO11" s="18" t="s">
        <v>10</v>
      </c>
      <c r="AP11" s="18" t="s">
        <v>10</v>
      </c>
      <c r="AQ11" s="18" t="s">
        <v>9</v>
      </c>
      <c r="AR11" s="18" t="s">
        <v>9</v>
      </c>
      <c r="AS11" s="18" t="s">
        <v>9</v>
      </c>
      <c r="AT11" s="18" t="s">
        <v>9</v>
      </c>
      <c r="AU11" s="18" t="s">
        <v>9</v>
      </c>
      <c r="AV11" s="18" t="s">
        <v>9</v>
      </c>
      <c r="AW11" s="18" t="s">
        <v>9</v>
      </c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6</v>
      </c>
      <c r="B12" s="17" t="n">
        <v>25206</v>
      </c>
      <c r="C12" s="17" t="s">
        <v>93</v>
      </c>
      <c r="D12" s="17" t="n">
        <f aca="false">COUNTIF($G12:$BN12,D$9)</f>
        <v>32</v>
      </c>
      <c r="E12" s="17" t="n">
        <f aca="false">COUNTIF($G12:$BN12,E$9)</f>
        <v>4</v>
      </c>
      <c r="F12" s="17" t="n">
        <f aca="false">COUNTIF($G12:$BN12,F$9)</f>
        <v>0</v>
      </c>
      <c r="G12" s="18" t="s">
        <v>9</v>
      </c>
      <c r="H12" s="18" t="s">
        <v>9</v>
      </c>
      <c r="I12" s="18" t="s">
        <v>9</v>
      </c>
      <c r="J12" s="18" t="s">
        <v>17</v>
      </c>
      <c r="K12" s="18" t="s">
        <v>17</v>
      </c>
      <c r="L12" s="18" t="s">
        <v>17</v>
      </c>
      <c r="M12" s="18" t="s">
        <v>17</v>
      </c>
      <c r="N12" s="18" t="s">
        <v>17</v>
      </c>
      <c r="O12" s="18" t="s">
        <v>9</v>
      </c>
      <c r="P12" s="18" t="s">
        <v>9</v>
      </c>
      <c r="Q12" s="18" t="s">
        <v>9</v>
      </c>
      <c r="R12" s="18" t="s">
        <v>9</v>
      </c>
      <c r="S12" s="18" t="s">
        <v>9</v>
      </c>
      <c r="T12" s="18" t="s">
        <v>9</v>
      </c>
      <c r="U12" s="18" t="s">
        <v>9</v>
      </c>
      <c r="V12" s="18" t="s">
        <v>9</v>
      </c>
      <c r="W12" s="18" t="s">
        <v>9</v>
      </c>
      <c r="X12" s="18" t="s">
        <v>9</v>
      </c>
      <c r="Y12" s="18" t="s">
        <v>9</v>
      </c>
      <c r="Z12" s="18" t="s">
        <v>9</v>
      </c>
      <c r="AA12" s="18" t="s">
        <v>9</v>
      </c>
      <c r="AB12" s="18" t="s">
        <v>17</v>
      </c>
      <c r="AC12" s="18" t="s">
        <v>10</v>
      </c>
      <c r="AD12" s="18" t="s">
        <v>9</v>
      </c>
      <c r="AE12" s="18" t="s">
        <v>17</v>
      </c>
      <c r="AF12" s="18" t="s">
        <v>9</v>
      </c>
      <c r="AG12" s="18" t="s">
        <v>9</v>
      </c>
      <c r="AH12" s="18" t="s">
        <v>10</v>
      </c>
      <c r="AI12" s="18" t="s">
        <v>10</v>
      </c>
      <c r="AJ12" s="18" t="s">
        <v>10</v>
      </c>
      <c r="AK12" s="18" t="s">
        <v>9</v>
      </c>
      <c r="AL12" s="18" t="s">
        <v>9</v>
      </c>
      <c r="AM12" s="18" t="s">
        <v>9</v>
      </c>
      <c r="AN12" s="18" t="s">
        <v>9</v>
      </c>
      <c r="AO12" s="18" t="s">
        <v>9</v>
      </c>
      <c r="AP12" s="18" t="s">
        <v>9</v>
      </c>
      <c r="AQ12" s="18" t="s">
        <v>9</v>
      </c>
      <c r="AR12" s="18" t="s">
        <v>9</v>
      </c>
      <c r="AS12" s="18" t="s">
        <v>9</v>
      </c>
      <c r="AT12" s="18" t="s">
        <v>9</v>
      </c>
      <c r="AU12" s="18" t="s">
        <v>9</v>
      </c>
      <c r="AV12" s="18" t="s">
        <v>9</v>
      </c>
      <c r="AW12" s="18" t="s">
        <v>9</v>
      </c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7</v>
      </c>
      <c r="B13" s="17" t="n">
        <v>25197</v>
      </c>
      <c r="C13" s="17" t="s">
        <v>94</v>
      </c>
      <c r="D13" s="17" t="n">
        <f aca="false">COUNTIF($G13:$BN13,D$9)</f>
        <v>22</v>
      </c>
      <c r="E13" s="17" t="n">
        <f aca="false">COUNTIF($G13:$BN13,E$9)</f>
        <v>13</v>
      </c>
      <c r="F13" s="17" t="n">
        <f aca="false">COUNTIF($G13:$BN13,F$9)</f>
        <v>1</v>
      </c>
      <c r="G13" s="18" t="s">
        <v>9</v>
      </c>
      <c r="H13" s="18" t="s">
        <v>9</v>
      </c>
      <c r="I13" s="18" t="s">
        <v>9</v>
      </c>
      <c r="J13" s="18" t="s">
        <v>17</v>
      </c>
      <c r="K13" s="18" t="s">
        <v>17</v>
      </c>
      <c r="L13" s="18" t="s">
        <v>17</v>
      </c>
      <c r="M13" s="18" t="s">
        <v>17</v>
      </c>
      <c r="N13" s="18" t="s">
        <v>17</v>
      </c>
      <c r="O13" s="18" t="s">
        <v>9</v>
      </c>
      <c r="P13" s="18" t="s">
        <v>9</v>
      </c>
      <c r="Q13" s="18" t="s">
        <v>9</v>
      </c>
      <c r="R13" s="18" t="s">
        <v>9</v>
      </c>
      <c r="S13" s="18" t="s">
        <v>9</v>
      </c>
      <c r="T13" s="18" t="s">
        <v>9</v>
      </c>
      <c r="U13" s="18" t="s">
        <v>9</v>
      </c>
      <c r="V13" s="18" t="s">
        <v>9</v>
      </c>
      <c r="W13" s="18" t="s">
        <v>9</v>
      </c>
      <c r="X13" s="18" t="s">
        <v>9</v>
      </c>
      <c r="Y13" s="18" t="s">
        <v>9</v>
      </c>
      <c r="Z13" s="18" t="s">
        <v>9</v>
      </c>
      <c r="AA13" s="18" t="s">
        <v>9</v>
      </c>
      <c r="AB13" s="18" t="s">
        <v>17</v>
      </c>
      <c r="AC13" s="18" t="s">
        <v>9</v>
      </c>
      <c r="AD13" s="18" t="s">
        <v>9</v>
      </c>
      <c r="AE13" s="18" t="s">
        <v>17</v>
      </c>
      <c r="AF13" s="18" t="s">
        <v>9</v>
      </c>
      <c r="AG13" s="18" t="s">
        <v>9</v>
      </c>
      <c r="AH13" s="18" t="s">
        <v>9</v>
      </c>
      <c r="AI13" s="18" t="s">
        <v>11</v>
      </c>
      <c r="AJ13" s="18" t="s">
        <v>10</v>
      </c>
      <c r="AK13" s="18" t="s">
        <v>9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8</v>
      </c>
      <c r="B14" s="17" t="n">
        <v>25173</v>
      </c>
      <c r="C14" s="17" t="s">
        <v>95</v>
      </c>
      <c r="D14" s="17" t="n">
        <f aca="false">COUNTIF($G14:$BN14,D$9)</f>
        <v>25</v>
      </c>
      <c r="E14" s="17" t="n">
        <f aca="false">COUNTIF($G14:$BN14,E$9)</f>
        <v>10</v>
      </c>
      <c r="F14" s="17" t="n">
        <f aca="false">COUNTIF($G14:$BN14,F$9)</f>
        <v>1</v>
      </c>
      <c r="G14" s="18" t="s">
        <v>9</v>
      </c>
      <c r="H14" s="18" t="s">
        <v>9</v>
      </c>
      <c r="I14" s="18" t="s">
        <v>9</v>
      </c>
      <c r="J14" s="18" t="s">
        <v>17</v>
      </c>
      <c r="K14" s="18" t="s">
        <v>17</v>
      </c>
      <c r="L14" s="18" t="s">
        <v>17</v>
      </c>
      <c r="M14" s="18" t="s">
        <v>17</v>
      </c>
      <c r="N14" s="18" t="s">
        <v>17</v>
      </c>
      <c r="O14" s="18" t="s">
        <v>9</v>
      </c>
      <c r="P14" s="18" t="s">
        <v>9</v>
      </c>
      <c r="Q14" s="18" t="s">
        <v>9</v>
      </c>
      <c r="R14" s="18" t="s">
        <v>10</v>
      </c>
      <c r="S14" s="18" t="s">
        <v>9</v>
      </c>
      <c r="T14" s="18" t="s">
        <v>10</v>
      </c>
      <c r="U14" s="18" t="s">
        <v>10</v>
      </c>
      <c r="V14" s="18" t="s">
        <v>9</v>
      </c>
      <c r="W14" s="18" t="s">
        <v>9</v>
      </c>
      <c r="X14" s="18" t="s">
        <v>9</v>
      </c>
      <c r="Y14" s="18" t="s">
        <v>10</v>
      </c>
      <c r="Z14" s="18" t="s">
        <v>10</v>
      </c>
      <c r="AA14" s="18" t="s">
        <v>9</v>
      </c>
      <c r="AB14" s="18" t="s">
        <v>17</v>
      </c>
      <c r="AC14" s="18" t="s">
        <v>10</v>
      </c>
      <c r="AD14" s="18" t="s">
        <v>9</v>
      </c>
      <c r="AE14" s="18" t="s">
        <v>17</v>
      </c>
      <c r="AF14" s="18" t="s">
        <v>9</v>
      </c>
      <c r="AG14" s="18" t="s">
        <v>9</v>
      </c>
      <c r="AH14" s="18" t="s">
        <v>9</v>
      </c>
      <c r="AI14" s="18" t="s">
        <v>11</v>
      </c>
      <c r="AJ14" s="18" t="s">
        <v>9</v>
      </c>
      <c r="AK14" s="18" t="s">
        <v>10</v>
      </c>
      <c r="AL14" s="18" t="s">
        <v>10</v>
      </c>
      <c r="AM14" s="18" t="s">
        <v>10</v>
      </c>
      <c r="AN14" s="18" t="s">
        <v>10</v>
      </c>
      <c r="AO14" s="18" t="s">
        <v>9</v>
      </c>
      <c r="AP14" s="18" t="s">
        <v>9</v>
      </c>
      <c r="AQ14" s="18" t="s">
        <v>9</v>
      </c>
      <c r="AR14" s="18" t="s">
        <v>9</v>
      </c>
      <c r="AS14" s="18" t="s">
        <v>9</v>
      </c>
      <c r="AT14" s="18" t="s">
        <v>9</v>
      </c>
      <c r="AU14" s="18" t="s">
        <v>9</v>
      </c>
      <c r="AV14" s="18" t="s">
        <v>9</v>
      </c>
      <c r="AW14" s="18" t="s">
        <v>9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9</v>
      </c>
      <c r="B15" s="17" t="n">
        <v>25212</v>
      </c>
      <c r="C15" s="17" t="s">
        <v>96</v>
      </c>
      <c r="D15" s="17" t="n">
        <f aca="false">COUNTIF($G15:$BN15,D$9)</f>
        <v>25</v>
      </c>
      <c r="E15" s="17" t="n">
        <f aca="false">COUNTIF($G15:$BN15,E$9)</f>
        <v>11</v>
      </c>
      <c r="F15" s="17" t="n">
        <f aca="false">COUNTIF($G15:$BN15,F$9)</f>
        <v>0</v>
      </c>
      <c r="G15" s="18" t="s">
        <v>9</v>
      </c>
      <c r="H15" s="18" t="s">
        <v>9</v>
      </c>
      <c r="I15" s="18" t="s">
        <v>9</v>
      </c>
      <c r="J15" s="18" t="s">
        <v>17</v>
      </c>
      <c r="K15" s="18" t="s">
        <v>17</v>
      </c>
      <c r="L15" s="18" t="s">
        <v>17</v>
      </c>
      <c r="M15" s="18" t="s">
        <v>17</v>
      </c>
      <c r="N15" s="18" t="s">
        <v>17</v>
      </c>
      <c r="O15" s="18" t="s">
        <v>9</v>
      </c>
      <c r="P15" s="18" t="s">
        <v>10</v>
      </c>
      <c r="Q15" s="18" t="s">
        <v>9</v>
      </c>
      <c r="R15" s="18" t="s">
        <v>9</v>
      </c>
      <c r="S15" s="18" t="s">
        <v>9</v>
      </c>
      <c r="T15" s="18" t="s">
        <v>10</v>
      </c>
      <c r="U15" s="18" t="s">
        <v>10</v>
      </c>
      <c r="V15" s="18" t="s">
        <v>9</v>
      </c>
      <c r="W15" s="18" t="s">
        <v>9</v>
      </c>
      <c r="X15" s="18" t="s">
        <v>10</v>
      </c>
      <c r="Y15" s="18" t="s">
        <v>9</v>
      </c>
      <c r="Z15" s="18" t="s">
        <v>9</v>
      </c>
      <c r="AA15" s="18" t="s">
        <v>9</v>
      </c>
      <c r="AB15" s="18" t="s">
        <v>17</v>
      </c>
      <c r="AC15" s="18" t="s">
        <v>10</v>
      </c>
      <c r="AD15" s="18" t="s">
        <v>10</v>
      </c>
      <c r="AE15" s="18" t="s">
        <v>17</v>
      </c>
      <c r="AF15" s="18" t="s">
        <v>10</v>
      </c>
      <c r="AG15" s="18" t="s">
        <v>9</v>
      </c>
      <c r="AH15" s="18" t="s">
        <v>9</v>
      </c>
      <c r="AI15" s="18" t="s">
        <v>9</v>
      </c>
      <c r="AJ15" s="18" t="s">
        <v>9</v>
      </c>
      <c r="AK15" s="18" t="s">
        <v>10</v>
      </c>
      <c r="AL15" s="18" t="s">
        <v>10</v>
      </c>
      <c r="AM15" s="18" t="s">
        <v>10</v>
      </c>
      <c r="AN15" s="18" t="s">
        <v>10</v>
      </c>
      <c r="AO15" s="18" t="s">
        <v>9</v>
      </c>
      <c r="AP15" s="18" t="s">
        <v>9</v>
      </c>
      <c r="AQ15" s="18" t="s">
        <v>9</v>
      </c>
      <c r="AR15" s="18" t="s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8" t="s">
        <v>9</v>
      </c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10</v>
      </c>
      <c r="B16" s="17" t="n">
        <v>25114</v>
      </c>
      <c r="C16" s="17" t="s">
        <v>97</v>
      </c>
      <c r="D16" s="17" t="n">
        <f aca="false">COUNTIF($G16:$BN16,D$9)</f>
        <v>2</v>
      </c>
      <c r="E16" s="17" t="n">
        <f aca="false">COUNTIF($G16:$BN16,E$9)</f>
        <v>34</v>
      </c>
      <c r="F16" s="17" t="n">
        <f aca="false">COUNTIF($G16:$BN16,F$9)</f>
        <v>0</v>
      </c>
      <c r="G16" s="18" t="s">
        <v>9</v>
      </c>
      <c r="H16" s="18" t="s">
        <v>9</v>
      </c>
      <c r="I16" s="18" t="s">
        <v>10</v>
      </c>
      <c r="J16" s="18" t="s">
        <v>17</v>
      </c>
      <c r="K16" s="18" t="s">
        <v>17</v>
      </c>
      <c r="L16" s="18" t="s">
        <v>17</v>
      </c>
      <c r="M16" s="18" t="s">
        <v>17</v>
      </c>
      <c r="N16" s="18" t="s">
        <v>17</v>
      </c>
      <c r="O16" s="18" t="s">
        <v>10</v>
      </c>
      <c r="P16" s="18" t="s">
        <v>10</v>
      </c>
      <c r="Q16" s="18" t="s">
        <v>10</v>
      </c>
      <c r="R16" s="18" t="s">
        <v>10</v>
      </c>
      <c r="S16" s="18" t="s">
        <v>10</v>
      </c>
      <c r="T16" s="18" t="s">
        <v>10</v>
      </c>
      <c r="U16" s="18" t="s">
        <v>10</v>
      </c>
      <c r="V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A16" s="18" t="s">
        <v>10</v>
      </c>
      <c r="AB16" s="18" t="s">
        <v>17</v>
      </c>
      <c r="AC16" s="18" t="s">
        <v>10</v>
      </c>
      <c r="AD16" s="18" t="s">
        <v>10</v>
      </c>
      <c r="AE16" s="18" t="s">
        <v>17</v>
      </c>
      <c r="AF16" s="18" t="s">
        <v>10</v>
      </c>
      <c r="AG16" s="18" t="s">
        <v>10</v>
      </c>
      <c r="AH16" s="18" t="s">
        <v>10</v>
      </c>
      <c r="AI16" s="18" t="s">
        <v>10</v>
      </c>
      <c r="AJ16" s="18" t="s">
        <v>10</v>
      </c>
      <c r="AK16" s="18" t="s">
        <v>10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11</v>
      </c>
      <c r="B17" s="17" t="n">
        <v>25230</v>
      </c>
      <c r="C17" s="17" t="s">
        <v>98</v>
      </c>
      <c r="D17" s="17" t="n">
        <f aca="false">COUNTIF($G17:$BN17,D$9)</f>
        <v>9</v>
      </c>
      <c r="E17" s="17" t="n">
        <f aca="false">COUNTIF($G17:$BN17,E$9)</f>
        <v>27</v>
      </c>
      <c r="F17" s="17" t="n">
        <f aca="false">COUNTIF($G17:$BN17,F$9)</f>
        <v>0</v>
      </c>
      <c r="G17" s="18" t="s">
        <v>9</v>
      </c>
      <c r="H17" s="18" t="s">
        <v>9</v>
      </c>
      <c r="I17" s="18" t="s">
        <v>9</v>
      </c>
      <c r="J17" s="18" t="s">
        <v>17</v>
      </c>
      <c r="K17" s="18" t="s">
        <v>17</v>
      </c>
      <c r="L17" s="18" t="s">
        <v>17</v>
      </c>
      <c r="M17" s="18" t="s">
        <v>17</v>
      </c>
      <c r="N17" s="18" t="s">
        <v>17</v>
      </c>
      <c r="O17" s="18" t="s">
        <v>9</v>
      </c>
      <c r="P17" s="18" t="s">
        <v>9</v>
      </c>
      <c r="Q17" s="18" t="s">
        <v>9</v>
      </c>
      <c r="R17" s="18" t="s">
        <v>9</v>
      </c>
      <c r="S17" s="18" t="s">
        <v>10</v>
      </c>
      <c r="T17" s="18" t="s">
        <v>10</v>
      </c>
      <c r="U17" s="18" t="s">
        <v>9</v>
      </c>
      <c r="V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A17" s="18" t="s">
        <v>9</v>
      </c>
      <c r="AB17" s="18" t="s">
        <v>17</v>
      </c>
      <c r="AC17" s="18" t="s">
        <v>10</v>
      </c>
      <c r="AD17" s="18" t="s">
        <v>10</v>
      </c>
      <c r="AE17" s="18" t="s">
        <v>17</v>
      </c>
      <c r="AF17" s="18" t="s">
        <v>10</v>
      </c>
      <c r="AG17" s="18" t="s">
        <v>10</v>
      </c>
      <c r="AH17" s="18" t="s">
        <v>10</v>
      </c>
      <c r="AI17" s="18" t="s">
        <v>10</v>
      </c>
      <c r="AJ17" s="18" t="s">
        <v>10</v>
      </c>
      <c r="AK17" s="18" t="s">
        <v>10</v>
      </c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12</v>
      </c>
      <c r="B18" s="17" t="n">
        <v>26296</v>
      </c>
      <c r="C18" s="17" t="s">
        <v>99</v>
      </c>
      <c r="D18" s="17" t="n">
        <f aca="false">COUNTIF($G18:$BN18,D$9)</f>
        <v>19</v>
      </c>
      <c r="E18" s="17" t="n">
        <f aca="false">COUNTIF($G18:$BN18,E$9)</f>
        <v>14</v>
      </c>
      <c r="F18" s="17" t="n">
        <f aca="false">COUNTIF($G18:$BN18,F$9)</f>
        <v>3</v>
      </c>
      <c r="G18" s="18" t="s">
        <v>9</v>
      </c>
      <c r="H18" s="18" t="s">
        <v>9</v>
      </c>
      <c r="I18" s="18" t="s">
        <v>9</v>
      </c>
      <c r="J18" s="18" t="s">
        <v>17</v>
      </c>
      <c r="K18" s="18" t="s">
        <v>17</v>
      </c>
      <c r="L18" s="18" t="s">
        <v>17</v>
      </c>
      <c r="M18" s="18" t="s">
        <v>17</v>
      </c>
      <c r="N18" s="18" t="s">
        <v>17</v>
      </c>
      <c r="O18" s="18" t="s">
        <v>9</v>
      </c>
      <c r="P18" s="18" t="s">
        <v>10</v>
      </c>
      <c r="Q18" s="18" t="s">
        <v>9</v>
      </c>
      <c r="R18" s="18" t="s">
        <v>9</v>
      </c>
      <c r="S18" s="18" t="s">
        <v>10</v>
      </c>
      <c r="T18" s="18" t="s">
        <v>9</v>
      </c>
      <c r="U18" s="18" t="s">
        <v>9</v>
      </c>
      <c r="V18" s="18" t="s">
        <v>11</v>
      </c>
      <c r="W18" s="18" t="s">
        <v>10</v>
      </c>
      <c r="X18" s="18" t="s">
        <v>10</v>
      </c>
      <c r="Y18" s="18" t="s">
        <v>9</v>
      </c>
      <c r="Z18" s="18" t="s">
        <v>9</v>
      </c>
      <c r="AA18" s="18" t="s">
        <v>9</v>
      </c>
      <c r="AB18" s="18" t="s">
        <v>17</v>
      </c>
      <c r="AC18" s="18" t="s">
        <v>10</v>
      </c>
      <c r="AD18" s="18" t="s">
        <v>10</v>
      </c>
      <c r="AE18" s="18" t="s">
        <v>17</v>
      </c>
      <c r="AF18" s="18" t="s">
        <v>10</v>
      </c>
      <c r="AG18" s="18" t="s">
        <v>10</v>
      </c>
      <c r="AH18" s="18" t="s">
        <v>9</v>
      </c>
      <c r="AI18" s="18" t="s">
        <v>11</v>
      </c>
      <c r="AJ18" s="18" t="s">
        <v>9</v>
      </c>
      <c r="AK18" s="18" t="s">
        <v>11</v>
      </c>
      <c r="AL18" s="18" t="s">
        <v>9</v>
      </c>
      <c r="AM18" s="18" t="s">
        <v>9</v>
      </c>
      <c r="AN18" s="18" t="s">
        <v>10</v>
      </c>
      <c r="AO18" s="18" t="s">
        <v>9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9</v>
      </c>
      <c r="AV18" s="18" t="s">
        <v>9</v>
      </c>
      <c r="AW18" s="18" t="s">
        <v>9</v>
      </c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13</v>
      </c>
      <c r="B19" s="17" t="n">
        <v>26206</v>
      </c>
      <c r="C19" s="17" t="s">
        <v>100</v>
      </c>
      <c r="D19" s="17" t="n">
        <f aca="false">COUNTIF($G19:$BN19,D$9)</f>
        <v>27</v>
      </c>
      <c r="E19" s="17" t="n">
        <f aca="false">COUNTIF($G19:$BN19,E$9)</f>
        <v>6</v>
      </c>
      <c r="F19" s="17" t="n">
        <f aca="false">COUNTIF($G19:$BN19,F$9)</f>
        <v>1</v>
      </c>
      <c r="G19" s="18"/>
      <c r="H19" s="18"/>
      <c r="I19" s="18" t="s">
        <v>9</v>
      </c>
      <c r="J19" s="18" t="s">
        <v>17</v>
      </c>
      <c r="K19" s="18" t="s">
        <v>17</v>
      </c>
      <c r="L19" s="18" t="s">
        <v>17</v>
      </c>
      <c r="M19" s="18" t="s">
        <v>17</v>
      </c>
      <c r="N19" s="18" t="s">
        <v>17</v>
      </c>
      <c r="O19" s="18" t="s">
        <v>9</v>
      </c>
      <c r="P19" s="18" t="s">
        <v>9</v>
      </c>
      <c r="Q19" s="18" t="s">
        <v>10</v>
      </c>
      <c r="R19" s="18" t="s">
        <v>10</v>
      </c>
      <c r="S19" s="18" t="s">
        <v>10</v>
      </c>
      <c r="T19" s="18" t="s">
        <v>9</v>
      </c>
      <c r="U19" s="18" t="s">
        <v>10</v>
      </c>
      <c r="V19" s="18" t="s">
        <v>10</v>
      </c>
      <c r="W19" s="18" t="s">
        <v>9</v>
      </c>
      <c r="X19" s="18" t="s">
        <v>9</v>
      </c>
      <c r="Y19" s="18" t="s">
        <v>9</v>
      </c>
      <c r="Z19" s="18" t="s">
        <v>9</v>
      </c>
      <c r="AA19" s="18" t="s">
        <v>9</v>
      </c>
      <c r="AB19" s="18" t="s">
        <v>17</v>
      </c>
      <c r="AC19" s="18" t="s">
        <v>9</v>
      </c>
      <c r="AD19" s="18" t="s">
        <v>9</v>
      </c>
      <c r="AE19" s="18" t="s">
        <v>17</v>
      </c>
      <c r="AF19" s="18" t="s">
        <v>9</v>
      </c>
      <c r="AG19" s="18" t="s">
        <v>9</v>
      </c>
      <c r="AH19" s="18" t="s">
        <v>9</v>
      </c>
      <c r="AI19" s="18" t="s">
        <v>9</v>
      </c>
      <c r="AJ19" s="18" t="s">
        <v>9</v>
      </c>
      <c r="AK19" s="18" t="s">
        <v>11</v>
      </c>
      <c r="AL19" s="18" t="s">
        <v>9</v>
      </c>
      <c r="AM19" s="18" t="s">
        <v>9</v>
      </c>
      <c r="AN19" s="18" t="s">
        <v>9</v>
      </c>
      <c r="AO19" s="18" t="s">
        <v>9</v>
      </c>
      <c r="AP19" s="18" t="s">
        <v>9</v>
      </c>
      <c r="AQ19" s="18" t="s">
        <v>9</v>
      </c>
      <c r="AR19" s="18" t="s">
        <v>9</v>
      </c>
      <c r="AS19" s="18" t="s">
        <v>9</v>
      </c>
      <c r="AT19" s="18" t="s">
        <v>10</v>
      </c>
      <c r="AU19" s="18" t="s">
        <v>9</v>
      </c>
      <c r="AV19" s="18" t="s">
        <v>9</v>
      </c>
      <c r="AW19" s="18" t="s">
        <v>9</v>
      </c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14</v>
      </c>
      <c r="B20" s="17" t="n">
        <v>26290</v>
      </c>
      <c r="C20" s="17" t="s">
        <v>101</v>
      </c>
      <c r="D20" s="17" t="n">
        <f aca="false">COUNTIF($G20:$BN20,D$9)</f>
        <v>18</v>
      </c>
      <c r="E20" s="17" t="n">
        <f aca="false">COUNTIF($G20:$BN20,E$9)</f>
        <v>12</v>
      </c>
      <c r="F20" s="17" t="n">
        <f aca="false">COUNTIF($G20:$BN20,F$9)</f>
        <v>1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 t="s">
        <v>9</v>
      </c>
      <c r="R20" s="18" t="s">
        <v>9</v>
      </c>
      <c r="S20" s="18" t="s">
        <v>9</v>
      </c>
      <c r="T20" s="18" t="s">
        <v>9</v>
      </c>
      <c r="U20" s="18" t="s">
        <v>10</v>
      </c>
      <c r="V20" s="18" t="s">
        <v>10</v>
      </c>
      <c r="W20" s="18" t="s">
        <v>9</v>
      </c>
      <c r="X20" s="18" t="s">
        <v>9</v>
      </c>
      <c r="Y20" s="18" t="s">
        <v>10</v>
      </c>
      <c r="Z20" s="18" t="s">
        <v>9</v>
      </c>
      <c r="AA20" s="18" t="s">
        <v>9</v>
      </c>
      <c r="AB20" s="18" t="s">
        <v>17</v>
      </c>
      <c r="AC20" s="18" t="s">
        <v>9</v>
      </c>
      <c r="AD20" s="18" t="s">
        <v>9</v>
      </c>
      <c r="AE20" s="18" t="s">
        <v>17</v>
      </c>
      <c r="AF20" s="18" t="s">
        <v>9</v>
      </c>
      <c r="AG20" s="18" t="s">
        <v>9</v>
      </c>
      <c r="AH20" s="18" t="s">
        <v>11</v>
      </c>
      <c r="AI20" s="18" t="s">
        <v>9</v>
      </c>
      <c r="AJ20" s="18" t="s">
        <v>9</v>
      </c>
      <c r="AK20" s="18" t="s">
        <v>9</v>
      </c>
      <c r="AL20" s="18" t="s">
        <v>9</v>
      </c>
      <c r="AM20" s="18" t="s">
        <v>9</v>
      </c>
      <c r="AN20" s="18" t="s">
        <v>9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15</v>
      </c>
      <c r="B21" s="17" t="n">
        <v>25110</v>
      </c>
      <c r="C21" s="17" t="s">
        <v>73</v>
      </c>
      <c r="D21" s="17" t="n">
        <f aca="false">COUNTIF($G21:$BN21,D$9)</f>
        <v>16</v>
      </c>
      <c r="E21" s="17" t="n">
        <f aca="false">COUNTIF($G21:$BN21,E$9)</f>
        <v>10</v>
      </c>
      <c r="F21" s="17" t="n">
        <f aca="false">COUNTIF($G21:$BN21,F$9)</f>
        <v>1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 t="s">
        <v>9</v>
      </c>
      <c r="V21" s="18" t="s">
        <v>9</v>
      </c>
      <c r="W21" s="18" t="s">
        <v>9</v>
      </c>
      <c r="X21" s="18" t="s">
        <v>9</v>
      </c>
      <c r="Y21" s="18" t="s">
        <v>9</v>
      </c>
      <c r="Z21" s="18" t="s">
        <v>9</v>
      </c>
      <c r="AA21" s="18" t="s">
        <v>9</v>
      </c>
      <c r="AB21" s="18" t="s">
        <v>17</v>
      </c>
      <c r="AC21" s="18" t="s">
        <v>9</v>
      </c>
      <c r="AD21" s="18" t="s">
        <v>9</v>
      </c>
      <c r="AE21" s="18" t="s">
        <v>17</v>
      </c>
      <c r="AF21" s="18" t="s">
        <v>9</v>
      </c>
      <c r="AG21" s="18" t="s">
        <v>9</v>
      </c>
      <c r="AH21" s="18" t="s">
        <v>9</v>
      </c>
      <c r="AI21" s="18" t="s">
        <v>9</v>
      </c>
      <c r="AJ21" s="18" t="s">
        <v>9</v>
      </c>
      <c r="AK21" s="18" t="s">
        <v>11</v>
      </c>
      <c r="AL21" s="18" t="s">
        <v>9</v>
      </c>
      <c r="AM21" s="18" t="s">
        <v>9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 t="n">
        <v>16</v>
      </c>
      <c r="B22" s="17" t="n">
        <v>25127</v>
      </c>
      <c r="C22" s="17" t="s">
        <v>102</v>
      </c>
      <c r="D22" s="17" t="n">
        <f aca="false">COUNTIF($G22:$BN22,D$9)</f>
        <v>26</v>
      </c>
      <c r="E22" s="17" t="n">
        <f aca="false">COUNTIF($G22:$BN22,E$9)</f>
        <v>3</v>
      </c>
      <c r="F22" s="17" t="n">
        <f aca="false">COUNTIF($G22:$BN22,F$9)</f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9</v>
      </c>
      <c r="T22" s="18" t="s">
        <v>9</v>
      </c>
      <c r="U22" s="18" t="s">
        <v>9</v>
      </c>
      <c r="V22" s="18" t="s">
        <v>9</v>
      </c>
      <c r="W22" s="18" t="s">
        <v>9</v>
      </c>
      <c r="X22" s="18" t="s">
        <v>9</v>
      </c>
      <c r="Y22" s="18" t="s">
        <v>9</v>
      </c>
      <c r="Z22" s="18" t="s">
        <v>9</v>
      </c>
      <c r="AA22" s="18" t="s">
        <v>9</v>
      </c>
      <c r="AB22" s="18" t="s">
        <v>17</v>
      </c>
      <c r="AC22" s="18" t="s">
        <v>10</v>
      </c>
      <c r="AD22" s="18" t="s">
        <v>9</v>
      </c>
      <c r="AE22" s="18" t="s">
        <v>17</v>
      </c>
      <c r="AF22" s="18" t="s">
        <v>9</v>
      </c>
      <c r="AG22" s="18" t="s">
        <v>9</v>
      </c>
      <c r="AH22" s="18" t="s">
        <v>9</v>
      </c>
      <c r="AI22" s="18" t="s">
        <v>10</v>
      </c>
      <c r="AJ22" s="18" t="s">
        <v>10</v>
      </c>
      <c r="AK22" s="18" t="s">
        <v>9</v>
      </c>
      <c r="AL22" s="18" t="s">
        <v>9</v>
      </c>
      <c r="AM22" s="18" t="s">
        <v>9</v>
      </c>
      <c r="AN22" s="18" t="s">
        <v>9</v>
      </c>
      <c r="AO22" s="18" t="s">
        <v>9</v>
      </c>
      <c r="AP22" s="18" t="s">
        <v>9</v>
      </c>
      <c r="AQ22" s="18" t="s">
        <v>9</v>
      </c>
      <c r="AR22" s="18" t="s">
        <v>9</v>
      </c>
      <c r="AS22" s="18" t="s">
        <v>9</v>
      </c>
      <c r="AT22" s="18" t="s">
        <v>9</v>
      </c>
      <c r="AU22" s="18" t="s">
        <v>9</v>
      </c>
      <c r="AV22" s="18" t="s">
        <v>9</v>
      </c>
      <c r="AW22" s="18" t="s">
        <v>9</v>
      </c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 t="n">
        <v>17</v>
      </c>
      <c r="B23" s="17"/>
      <c r="C23" s="17" t="s">
        <v>103</v>
      </c>
      <c r="D23" s="17" t="n">
        <f aca="false">COUNTIF($G23:$BN23,D$9)</f>
        <v>19</v>
      </c>
      <c r="E23" s="17" t="n">
        <f aca="false">COUNTIF($G23:$BN23,E$9)</f>
        <v>7</v>
      </c>
      <c r="F23" s="17" t="n">
        <f aca="false">COUNTIF($G23:$BN23,F$9)</f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 t="s">
        <v>9</v>
      </c>
      <c r="W23" s="18" t="s">
        <v>9</v>
      </c>
      <c r="X23" s="18" t="s">
        <v>9</v>
      </c>
      <c r="Y23" s="18" t="s">
        <v>9</v>
      </c>
      <c r="Z23" s="18" t="s">
        <v>9</v>
      </c>
      <c r="AA23" s="18" t="s">
        <v>9</v>
      </c>
      <c r="AB23" s="18" t="s">
        <v>17</v>
      </c>
      <c r="AC23" s="18" t="s">
        <v>10</v>
      </c>
      <c r="AD23" s="18" t="s">
        <v>10</v>
      </c>
      <c r="AE23" s="18" t="s">
        <v>17</v>
      </c>
      <c r="AF23" s="18" t="s">
        <v>9</v>
      </c>
      <c r="AG23" s="18" t="s">
        <v>9</v>
      </c>
      <c r="AH23" s="18" t="s">
        <v>9</v>
      </c>
      <c r="AI23" s="18" t="s">
        <v>10</v>
      </c>
      <c r="AJ23" s="18" t="s">
        <v>10</v>
      </c>
      <c r="AK23" s="18" t="s">
        <v>10</v>
      </c>
      <c r="AL23" s="18" t="s">
        <v>9</v>
      </c>
      <c r="AM23" s="18" t="s">
        <v>9</v>
      </c>
      <c r="AN23" s="18" t="s">
        <v>10</v>
      </c>
      <c r="AO23" s="18" t="s">
        <v>10</v>
      </c>
      <c r="AP23" s="18" t="s">
        <v>9</v>
      </c>
      <c r="AQ23" s="18" t="s">
        <v>9</v>
      </c>
      <c r="AR23" s="18" t="s">
        <v>9</v>
      </c>
      <c r="AS23" s="18" t="s">
        <v>9</v>
      </c>
      <c r="AT23" s="18" t="s">
        <v>9</v>
      </c>
      <c r="AU23" s="18" t="s">
        <v>9</v>
      </c>
      <c r="AV23" s="18" t="s">
        <v>9</v>
      </c>
      <c r="AW23" s="18" t="s">
        <v>9</v>
      </c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 t="n">
        <v>18</v>
      </c>
      <c r="B24" s="17" t="n">
        <v>173</v>
      </c>
      <c r="C24" s="17" t="s">
        <v>104</v>
      </c>
      <c r="D24" s="17" t="n">
        <f aca="false">COUNTIF($G24:$BN24,D$9)</f>
        <v>10</v>
      </c>
      <c r="E24" s="17" t="n">
        <f aca="false">COUNTIF($G24:$BN24,E$9)</f>
        <v>19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9</v>
      </c>
      <c r="T24" s="18" t="s">
        <v>9</v>
      </c>
      <c r="U24" s="18" t="s">
        <v>9</v>
      </c>
      <c r="V24" s="18" t="s">
        <v>9</v>
      </c>
      <c r="W24" s="18" t="s">
        <v>9</v>
      </c>
      <c r="X24" s="18" t="s">
        <v>10</v>
      </c>
      <c r="Y24" s="18" t="s">
        <v>10</v>
      </c>
      <c r="Z24" s="18" t="s">
        <v>9</v>
      </c>
      <c r="AA24" s="18" t="s">
        <v>9</v>
      </c>
      <c r="AB24" s="18" t="s">
        <v>17</v>
      </c>
      <c r="AC24" s="18" t="s">
        <v>10</v>
      </c>
      <c r="AD24" s="18" t="s">
        <v>10</v>
      </c>
      <c r="AE24" s="18" t="s">
        <v>17</v>
      </c>
      <c r="AF24" s="18" t="s">
        <v>10</v>
      </c>
      <c r="AG24" s="18" t="s">
        <v>10</v>
      </c>
      <c r="AH24" s="18" t="s">
        <v>10</v>
      </c>
      <c r="AI24" s="18" t="s">
        <v>10</v>
      </c>
      <c r="AJ24" s="18" t="s">
        <v>10</v>
      </c>
      <c r="AK24" s="18" t="s">
        <v>9</v>
      </c>
      <c r="AL24" s="18" t="s">
        <v>9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9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 t="n">
        <v>19</v>
      </c>
      <c r="B25" s="17"/>
      <c r="C25" s="17" t="s">
        <v>79</v>
      </c>
      <c r="D25" s="17" t="n">
        <f aca="false">COUNTIF($G25:$BN25,D$9)</f>
        <v>9</v>
      </c>
      <c r="E25" s="17" t="n">
        <f aca="false">COUNTIF($G25:$BN25,E$9)</f>
        <v>17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 t="s">
        <v>9</v>
      </c>
      <c r="W25" s="18" t="s">
        <v>9</v>
      </c>
      <c r="X25" s="18" t="s">
        <v>9</v>
      </c>
      <c r="Y25" s="18" t="s">
        <v>9</v>
      </c>
      <c r="Z25" s="18" t="s">
        <v>9</v>
      </c>
      <c r="AA25" s="18" t="s">
        <v>9</v>
      </c>
      <c r="AB25" s="18" t="s">
        <v>17</v>
      </c>
      <c r="AC25" s="18" t="s">
        <v>10</v>
      </c>
      <c r="AD25" s="18" t="s">
        <v>9</v>
      </c>
      <c r="AE25" s="18" t="s">
        <v>17</v>
      </c>
      <c r="AF25" s="18" t="s">
        <v>9</v>
      </c>
      <c r="AG25" s="18" t="s">
        <v>10</v>
      </c>
      <c r="AH25" s="18" t="s">
        <v>10</v>
      </c>
      <c r="AI25" s="18" t="s">
        <v>10</v>
      </c>
      <c r="AJ25" s="18" t="s">
        <v>10</v>
      </c>
      <c r="AK25" s="18" t="s">
        <v>10</v>
      </c>
      <c r="AL25" s="18" t="s">
        <v>10</v>
      </c>
      <c r="AM25" s="18" t="s">
        <v>10</v>
      </c>
      <c r="AN25" s="18" t="s">
        <v>9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26"/>
      <c r="B26" s="26"/>
      <c r="C26" s="26" t="s">
        <v>105</v>
      </c>
      <c r="D26" s="26" t="n">
        <f aca="false">COUNTIF($G26:$BN26,D$9)</f>
        <v>6</v>
      </c>
      <c r="E26" s="26" t="n">
        <f aca="false">COUNTIF($G26:$BN26,E$9)</f>
        <v>8</v>
      </c>
      <c r="F26" s="26" t="n">
        <f aca="false">COUNTIF($G26:$BN26,F$9)</f>
        <v>0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 t="s">
        <v>9</v>
      </c>
      <c r="W26" s="29" t="s">
        <v>10</v>
      </c>
      <c r="X26" s="29" t="s">
        <v>10</v>
      </c>
      <c r="Y26" s="29" t="s">
        <v>9</v>
      </c>
      <c r="Z26" s="29" t="s">
        <v>10</v>
      </c>
      <c r="AA26" s="29" t="s">
        <v>10</v>
      </c>
      <c r="AB26" s="29" t="s">
        <v>17</v>
      </c>
      <c r="AC26" s="29" t="s">
        <v>9</v>
      </c>
      <c r="AD26" s="29" t="s">
        <v>9</v>
      </c>
      <c r="AE26" s="29" t="s">
        <v>17</v>
      </c>
      <c r="AF26" s="29" t="s">
        <v>10</v>
      </c>
      <c r="AG26" s="29" t="s">
        <v>9</v>
      </c>
      <c r="AH26" s="29" t="s">
        <v>9</v>
      </c>
      <c r="AI26" s="29" t="s">
        <v>10</v>
      </c>
      <c r="AJ26" s="29" t="s">
        <v>10</v>
      </c>
      <c r="AK26" s="29" t="s">
        <v>10</v>
      </c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</row>
    <row r="27" customFormat="false" ht="15.75" hidden="false" customHeight="true" outlineLevel="0" collapsed="false">
      <c r="A27" s="47"/>
      <c r="B27" s="47"/>
      <c r="C27" s="47" t="s">
        <v>106</v>
      </c>
      <c r="D27" s="47" t="n">
        <f aca="false">COUNTIF($G27:$BN27,D$9)</f>
        <v>7</v>
      </c>
      <c r="E27" s="47" t="n">
        <f aca="false">COUNTIF($G27:$BN27,E$9)</f>
        <v>3</v>
      </c>
      <c r="F27" s="47" t="n">
        <f aca="false">COUNTIF($G27:$BN27,F$9)</f>
        <v>0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 t="s">
        <v>9</v>
      </c>
      <c r="AA27" s="48" t="s">
        <v>9</v>
      </c>
      <c r="AB27" s="48" t="s">
        <v>17</v>
      </c>
      <c r="AC27" s="48" t="s">
        <v>9</v>
      </c>
      <c r="AD27" s="48" t="s">
        <v>9</v>
      </c>
      <c r="AE27" s="48" t="s">
        <v>17</v>
      </c>
      <c r="AF27" s="48" t="s">
        <v>9</v>
      </c>
      <c r="AG27" s="48" t="s">
        <v>9</v>
      </c>
      <c r="AH27" s="48" t="s">
        <v>10</v>
      </c>
      <c r="AI27" s="48" t="s">
        <v>10</v>
      </c>
      <c r="AJ27" s="48" t="s">
        <v>9</v>
      </c>
      <c r="AK27" s="48" t="s">
        <v>10</v>
      </c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10:BN27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7:BN7" type="list">
      <formula1>"SHAKIL,JIHAD,MAM,TANVIR ISLAM"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E2" activeCellId="0" sqref="E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1.25"/>
    <col collapsed="false" customWidth="true" hidden="false" outlineLevel="0" max="3" min="3" style="0" width="28.25"/>
    <col collapsed="false" customWidth="true" hidden="false" outlineLevel="0" max="6" min="4" style="0" width="6.38"/>
    <col collapsed="false" customWidth="true" hidden="false" outlineLevel="0" max="93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29</v>
      </c>
      <c r="G2" s="3" t="s">
        <v>107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46067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46217</v>
      </c>
      <c r="J6" s="8" t="s">
        <v>14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15</v>
      </c>
      <c r="H7" s="9" t="s">
        <v>15</v>
      </c>
      <c r="I7" s="9" t="s">
        <v>15</v>
      </c>
      <c r="J7" s="9" t="s">
        <v>15</v>
      </c>
      <c r="K7" s="9" t="s">
        <v>15</v>
      </c>
      <c r="L7" s="9" t="s">
        <v>15</v>
      </c>
      <c r="M7" s="9" t="s">
        <v>15</v>
      </c>
      <c r="N7" s="9" t="s">
        <v>15</v>
      </c>
      <c r="O7" s="9" t="s">
        <v>15</v>
      </c>
      <c r="P7" s="9" t="s">
        <v>15</v>
      </c>
      <c r="Q7" s="9" t="s">
        <v>15</v>
      </c>
      <c r="R7" s="9" t="s">
        <v>15</v>
      </c>
      <c r="S7" s="9" t="s">
        <v>15</v>
      </c>
      <c r="T7" s="9" t="s">
        <v>5</v>
      </c>
      <c r="U7" s="9" t="s">
        <v>15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15</v>
      </c>
      <c r="AA7" s="9" t="s">
        <v>15</v>
      </c>
      <c r="AB7" s="9" t="s">
        <v>15</v>
      </c>
      <c r="AC7" s="9" t="s">
        <v>15</v>
      </c>
      <c r="AD7" s="9" t="s">
        <v>15</v>
      </c>
      <c r="AE7" s="9" t="s">
        <v>15</v>
      </c>
      <c r="AF7" s="9" t="s">
        <v>15</v>
      </c>
      <c r="AG7" s="9" t="s">
        <v>15</v>
      </c>
      <c r="AH7" s="9" t="s">
        <v>15</v>
      </c>
      <c r="AI7" s="9" t="s">
        <v>15</v>
      </c>
      <c r="AJ7" s="9" t="s">
        <v>15</v>
      </c>
      <c r="AK7" s="9" t="s">
        <v>15</v>
      </c>
      <c r="AL7" s="9" t="s">
        <v>15</v>
      </c>
      <c r="AM7" s="9" t="s">
        <v>15</v>
      </c>
      <c r="AN7" s="9" t="s">
        <v>15</v>
      </c>
      <c r="AO7" s="9" t="s">
        <v>15</v>
      </c>
      <c r="AP7" s="9" t="s">
        <v>15</v>
      </c>
      <c r="AQ7" s="9" t="s">
        <v>15</v>
      </c>
      <c r="AR7" s="9" t="s">
        <v>15</v>
      </c>
      <c r="AS7" s="9" t="s">
        <v>15</v>
      </c>
      <c r="AT7" s="9" t="s">
        <v>15</v>
      </c>
      <c r="AU7" s="9" t="s">
        <v>15</v>
      </c>
      <c r="AV7" s="9" t="s">
        <v>15</v>
      </c>
      <c r="AW7" s="9" t="s">
        <v>15</v>
      </c>
      <c r="AX7" s="9" t="s">
        <v>15</v>
      </c>
      <c r="AY7" s="9" t="s">
        <v>15</v>
      </c>
      <c r="AZ7" s="9" t="s">
        <v>15</v>
      </c>
      <c r="BA7" s="9" t="s">
        <v>15</v>
      </c>
      <c r="BB7" s="9" t="s">
        <v>15</v>
      </c>
      <c r="BC7" s="9" t="s">
        <v>15</v>
      </c>
      <c r="BD7" s="9" t="s">
        <v>15</v>
      </c>
      <c r="BE7" s="9" t="s">
        <v>15</v>
      </c>
      <c r="BF7" s="9" t="s">
        <v>15</v>
      </c>
      <c r="BG7" s="9" t="s">
        <v>15</v>
      </c>
      <c r="BH7" s="9" t="s">
        <v>15</v>
      </c>
      <c r="BI7" s="9" t="s">
        <v>15</v>
      </c>
      <c r="BJ7" s="9" t="s">
        <v>15</v>
      </c>
      <c r="BK7" s="9" t="s">
        <v>15</v>
      </c>
      <c r="BL7" s="9" t="s">
        <v>15</v>
      </c>
      <c r="BM7" s="9" t="s">
        <v>15</v>
      </c>
      <c r="BN7" s="9" t="s">
        <v>5</v>
      </c>
      <c r="BO7" s="9" t="s">
        <v>5</v>
      </c>
      <c r="BP7" s="9" t="s">
        <v>108</v>
      </c>
      <c r="BQ7" s="9" t="s">
        <v>108</v>
      </c>
      <c r="BR7" s="9" t="s">
        <v>109</v>
      </c>
      <c r="BS7" s="9" t="s">
        <v>108</v>
      </c>
      <c r="BT7" s="9" t="s">
        <v>108</v>
      </c>
      <c r="BU7" s="9" t="s">
        <v>108</v>
      </c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</row>
    <row r="8" customFormat="false" ht="15.75" hidden="false" customHeight="true" outlineLevel="0" collapsed="false">
      <c r="G8" s="10" t="str">
        <f aca="false">TEXT(G9,"DDD")</f>
        <v>Sat</v>
      </c>
      <c r="H8" s="10" t="str">
        <f aca="false">TEXT(H9,"DDD")</f>
        <v>Mon</v>
      </c>
      <c r="I8" s="10" t="str">
        <f aca="false">TEXT(I9,"DDD")</f>
        <v>Wed</v>
      </c>
      <c r="J8" s="10" t="str">
        <f aca="false">TEXT(J9,"DDD")</f>
        <v>Sat</v>
      </c>
      <c r="K8" s="10" t="str">
        <f aca="false">TEXT(K9,"DDD")</f>
        <v>Mon</v>
      </c>
      <c r="L8" s="10" t="str">
        <f aca="false">TEXT(L9,"DDD")</f>
        <v>Wed</v>
      </c>
      <c r="M8" s="10" t="str">
        <f aca="false">TEXT(M9,"DDD")</f>
        <v>Sat</v>
      </c>
      <c r="N8" s="10" t="str">
        <f aca="false">TEXT(N9,"DDD")</f>
        <v>Mon</v>
      </c>
      <c r="O8" s="10" t="str">
        <f aca="false">TEXT(O9,"DDD")</f>
        <v>Wed</v>
      </c>
      <c r="P8" s="10" t="str">
        <f aca="false">TEXT(P9,"DDD")</f>
        <v>Sat</v>
      </c>
      <c r="Q8" s="10" t="str">
        <f aca="false">TEXT(Q9,"DDD")</f>
        <v>Mon</v>
      </c>
      <c r="R8" s="10" t="str">
        <f aca="false">TEXT(R9,"DDD")</f>
        <v>Wed</v>
      </c>
      <c r="S8" s="10" t="str">
        <f aca="false">TEXT(S9,"DDD")</f>
        <v>Sat</v>
      </c>
      <c r="T8" s="10" t="str">
        <f aca="false">TEXT(T9,"DDD")</f>
        <v>Mon</v>
      </c>
      <c r="U8" s="10" t="str">
        <f aca="false">TEXT(U9,"DDD")</f>
        <v>Wed</v>
      </c>
      <c r="V8" s="10" t="str">
        <f aca="false">TEXT(V9,"DDD")</f>
        <v>Sat</v>
      </c>
      <c r="W8" s="10" t="str">
        <f aca="false">TEXT(W9,"DDD")</f>
        <v>Mon</v>
      </c>
      <c r="X8" s="10" t="str">
        <f aca="false">TEXT(X9,"DDD")</f>
        <v>Wed</v>
      </c>
      <c r="Y8" s="10" t="str">
        <f aca="false">TEXT(Y9,"DDD")</f>
        <v>Sat</v>
      </c>
      <c r="Z8" s="10" t="str">
        <f aca="false">TEXT(Z9,"DDD")</f>
        <v>Mon</v>
      </c>
      <c r="AA8" s="10" t="str">
        <f aca="false">TEXT(AA9,"DDD")</f>
        <v>Wed</v>
      </c>
      <c r="AB8" s="10" t="str">
        <f aca="false">TEXT(AB9,"DDD")</f>
        <v>Sat</v>
      </c>
      <c r="AC8" s="10" t="str">
        <f aca="false">TEXT(AC9,"DDD")</f>
        <v>Mon</v>
      </c>
      <c r="AD8" s="10" t="str">
        <f aca="false">TEXT(AD9,"DDD")</f>
        <v>Wed</v>
      </c>
      <c r="AE8" s="10" t="str">
        <f aca="false">TEXT(AE9,"DDD")</f>
        <v>Sat</v>
      </c>
      <c r="AF8" s="10" t="str">
        <f aca="false">TEXT(AF9,"DDD")</f>
        <v>Mon</v>
      </c>
      <c r="AG8" s="10" t="str">
        <f aca="false">TEXT(AG9,"DDD")</f>
        <v>Wed</v>
      </c>
      <c r="AH8" s="10" t="str">
        <f aca="false">TEXT(AH9,"DDD")</f>
        <v>Sat</v>
      </c>
      <c r="AI8" s="10" t="str">
        <f aca="false">TEXT(AI9,"DDD")</f>
        <v>Mon</v>
      </c>
      <c r="AJ8" s="10" t="str">
        <f aca="false">TEXT(AJ9,"DDD")</f>
        <v>Wed</v>
      </c>
      <c r="AK8" s="10" t="str">
        <f aca="false">TEXT(AK9,"DDD")</f>
        <v>Sat</v>
      </c>
      <c r="AL8" s="10" t="str">
        <f aca="false">TEXT(AL9,"DDD")</f>
        <v>Mon</v>
      </c>
      <c r="AM8" s="10" t="str">
        <f aca="false">TEXT(AM9,"DDD")</f>
        <v>Wed</v>
      </c>
      <c r="AN8" s="10" t="str">
        <f aca="false">TEXT(AN9,"DDD")</f>
        <v>Sat</v>
      </c>
      <c r="AO8" s="10" t="str">
        <f aca="false">TEXT(AO9,"DDD")</f>
        <v>Mon</v>
      </c>
      <c r="AP8" s="10" t="str">
        <f aca="false">TEXT(AP9,"DDD")</f>
        <v>Wed</v>
      </c>
      <c r="AQ8" s="10" t="str">
        <f aca="false">TEXT(AQ9,"DDD")</f>
        <v>Sat</v>
      </c>
      <c r="AR8" s="10" t="str">
        <f aca="false">TEXT(AR9,"DDD")</f>
        <v>Mon</v>
      </c>
      <c r="AS8" s="10" t="str">
        <f aca="false">TEXT(AS9,"DDD")</f>
        <v>Wed</v>
      </c>
      <c r="AT8" s="10" t="str">
        <f aca="false">TEXT(AT9,"DDD")</f>
        <v>Sat</v>
      </c>
      <c r="AU8" s="10" t="str">
        <f aca="false">TEXT(AU9,"DDD")</f>
        <v>Mon</v>
      </c>
      <c r="AV8" s="10" t="str">
        <f aca="false">TEXT(AV9,"DDD")</f>
        <v>Wed</v>
      </c>
      <c r="AW8" s="10" t="str">
        <f aca="false">TEXT(AW9,"DDD")</f>
        <v>Sat</v>
      </c>
      <c r="AX8" s="10" t="str">
        <f aca="false">TEXT(AX9,"DDD")</f>
        <v>Mon</v>
      </c>
      <c r="AY8" s="10" t="str">
        <f aca="false">TEXT(AY9,"DDD")</f>
        <v>Wed</v>
      </c>
      <c r="AZ8" s="10" t="str">
        <f aca="false">TEXT(AZ9,"DDD")</f>
        <v>Sat</v>
      </c>
      <c r="BA8" s="10" t="str">
        <f aca="false">TEXT(BA9,"DDD")</f>
        <v>Mon</v>
      </c>
      <c r="BB8" s="10" t="str">
        <f aca="false">TEXT(BB9,"DDD")</f>
        <v>Wed</v>
      </c>
      <c r="BC8" s="10" t="str">
        <f aca="false">TEXT(BC9,"DDD")</f>
        <v>Sat</v>
      </c>
      <c r="BD8" s="10" t="str">
        <f aca="false">TEXT(BD9,"DDD")</f>
        <v>Mon</v>
      </c>
      <c r="BE8" s="10" t="str">
        <f aca="false">TEXT(BE9,"DDD")</f>
        <v>Wed</v>
      </c>
      <c r="BF8" s="10" t="str">
        <f aca="false">TEXT(BF9,"DDD")</f>
        <v>Sat</v>
      </c>
      <c r="BG8" s="10" t="str">
        <f aca="false">TEXT(BG9,"DDD")</f>
        <v>Mon</v>
      </c>
      <c r="BH8" s="10" t="str">
        <f aca="false">TEXT(BH9,"DDD")</f>
        <v>Wed</v>
      </c>
      <c r="BI8" s="10" t="str">
        <f aca="false">TEXT(BI9,"DDD")</f>
        <v>Sat</v>
      </c>
      <c r="BJ8" s="10" t="str">
        <f aca="false">TEXT(BJ9,"DDD")</f>
        <v>Mon</v>
      </c>
      <c r="BK8" s="10" t="str">
        <f aca="false">TEXT(BK9,"DDD")</f>
        <v>Wed</v>
      </c>
      <c r="BL8" s="10" t="str">
        <f aca="false">TEXT(BL9,"DDD")</f>
        <v>Sat</v>
      </c>
      <c r="BM8" s="10" t="str">
        <f aca="false">TEXT(BM9,"DDD")</f>
        <v>Mon</v>
      </c>
      <c r="BN8" s="10" t="str">
        <f aca="false">TEXT(BN9,"DDD")</f>
        <v>Wed</v>
      </c>
      <c r="BO8" s="49" t="str">
        <f aca="false">TEXT(BO9,"DDD")</f>
        <v>Sat</v>
      </c>
      <c r="BP8" s="49" t="str">
        <f aca="false">TEXT(BP9,"DDD")</f>
        <v>Mon</v>
      </c>
      <c r="BQ8" s="49" t="str">
        <f aca="false">TEXT(BQ9,"DDD")</f>
        <v>Wed</v>
      </c>
      <c r="BR8" s="49" t="str">
        <f aca="false">TEXT(BR9,"DDD")</f>
        <v>Sat</v>
      </c>
      <c r="BS8" s="49" t="str">
        <f aca="false">TEXT(BS9,"DDD")</f>
        <v>Mon</v>
      </c>
      <c r="BT8" s="49" t="str">
        <f aca="false">TEXT(BT9,"DDD")</f>
        <v>Wed</v>
      </c>
      <c r="BU8" s="49" t="str">
        <f aca="false">TEXT(BU9,"DDD")</f>
        <v>Sat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40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46067</v>
      </c>
      <c r="H9" s="15" t="n">
        <f aca="false">G9+2</f>
        <v>46069</v>
      </c>
      <c r="I9" s="15" t="n">
        <f aca="false">H9+2</f>
        <v>46071</v>
      </c>
      <c r="J9" s="15" t="n">
        <f aca="false">I9+3</f>
        <v>46074</v>
      </c>
      <c r="K9" s="15" t="n">
        <f aca="false">J9+2</f>
        <v>46076</v>
      </c>
      <c r="L9" s="15" t="n">
        <f aca="false">K9+2</f>
        <v>46078</v>
      </c>
      <c r="M9" s="15" t="n">
        <f aca="false">L9+3</f>
        <v>46081</v>
      </c>
      <c r="N9" s="15" t="n">
        <f aca="false">M9+2</f>
        <v>46083</v>
      </c>
      <c r="O9" s="15" t="n">
        <f aca="false">N9+2</f>
        <v>46085</v>
      </c>
      <c r="P9" s="15" t="n">
        <f aca="false">O9+3</f>
        <v>46088</v>
      </c>
      <c r="Q9" s="15" t="n">
        <f aca="false">P9+2</f>
        <v>46090</v>
      </c>
      <c r="R9" s="15" t="n">
        <f aca="false">Q9+2</f>
        <v>46092</v>
      </c>
      <c r="S9" s="15" t="n">
        <f aca="false">R9+3</f>
        <v>46095</v>
      </c>
      <c r="T9" s="15" t="n">
        <f aca="false">S9+2</f>
        <v>46097</v>
      </c>
      <c r="U9" s="15" t="n">
        <f aca="false">T9+2</f>
        <v>46099</v>
      </c>
      <c r="V9" s="15" t="n">
        <f aca="false">U9+3</f>
        <v>46102</v>
      </c>
      <c r="W9" s="15" t="n">
        <f aca="false">V9+2</f>
        <v>46104</v>
      </c>
      <c r="X9" s="15" t="n">
        <f aca="false">W9+2</f>
        <v>46106</v>
      </c>
      <c r="Y9" s="15" t="n">
        <f aca="false">X9+3</f>
        <v>46109</v>
      </c>
      <c r="Z9" s="15" t="n">
        <f aca="false">Y9+2</f>
        <v>46111</v>
      </c>
      <c r="AA9" s="15" t="n">
        <f aca="false">Z9+2</f>
        <v>46113</v>
      </c>
      <c r="AB9" s="15" t="n">
        <f aca="false">AA9+3</f>
        <v>46116</v>
      </c>
      <c r="AC9" s="15" t="n">
        <f aca="false">AB9+2</f>
        <v>46118</v>
      </c>
      <c r="AD9" s="15" t="n">
        <f aca="false">AC9+2</f>
        <v>46120</v>
      </c>
      <c r="AE9" s="15" t="n">
        <f aca="false">AD9+3</f>
        <v>46123</v>
      </c>
      <c r="AF9" s="15" t="n">
        <f aca="false">AE9+2</f>
        <v>46125</v>
      </c>
      <c r="AG9" s="15" t="n">
        <f aca="false">AF9+2</f>
        <v>46127</v>
      </c>
      <c r="AH9" s="15" t="n">
        <f aca="false">AG9+3</f>
        <v>46130</v>
      </c>
      <c r="AI9" s="15" t="n">
        <f aca="false">AH9+2</f>
        <v>46132</v>
      </c>
      <c r="AJ9" s="15" t="n">
        <f aca="false">AI9+2</f>
        <v>46134</v>
      </c>
      <c r="AK9" s="15" t="n">
        <f aca="false">AJ9+3</f>
        <v>46137</v>
      </c>
      <c r="AL9" s="15" t="n">
        <f aca="false">AK9+2</f>
        <v>46139</v>
      </c>
      <c r="AM9" s="15" t="n">
        <f aca="false">AL9+2</f>
        <v>46141</v>
      </c>
      <c r="AN9" s="15" t="n">
        <f aca="false">AM9+3</f>
        <v>46144</v>
      </c>
      <c r="AO9" s="15" t="n">
        <f aca="false">AN9+2</f>
        <v>46146</v>
      </c>
      <c r="AP9" s="15" t="n">
        <f aca="false">AO9+2</f>
        <v>46148</v>
      </c>
      <c r="AQ9" s="15" t="n">
        <f aca="false">AP9+3</f>
        <v>46151</v>
      </c>
      <c r="AR9" s="15" t="n">
        <f aca="false">AQ9+2</f>
        <v>46153</v>
      </c>
      <c r="AS9" s="15" t="n">
        <f aca="false">AR9+2</f>
        <v>46155</v>
      </c>
      <c r="AT9" s="15" t="n">
        <f aca="false">AS9+3</f>
        <v>46158</v>
      </c>
      <c r="AU9" s="15" t="n">
        <f aca="false">AT9+2</f>
        <v>46160</v>
      </c>
      <c r="AV9" s="15" t="n">
        <f aca="false">AU9+2</f>
        <v>46162</v>
      </c>
      <c r="AW9" s="15" t="n">
        <f aca="false">AV9+3</f>
        <v>46165</v>
      </c>
      <c r="AX9" s="15" t="n">
        <f aca="false">AW9+2</f>
        <v>46167</v>
      </c>
      <c r="AY9" s="15" t="n">
        <f aca="false">AX9+2</f>
        <v>46169</v>
      </c>
      <c r="AZ9" s="15" t="n">
        <f aca="false">AY9+3</f>
        <v>46172</v>
      </c>
      <c r="BA9" s="15" t="n">
        <f aca="false">AZ9+2</f>
        <v>46174</v>
      </c>
      <c r="BB9" s="15" t="n">
        <f aca="false">BA9+2</f>
        <v>46176</v>
      </c>
      <c r="BC9" s="15" t="n">
        <f aca="false">BB9+3</f>
        <v>46179</v>
      </c>
      <c r="BD9" s="15" t="n">
        <f aca="false">BC9+2</f>
        <v>46181</v>
      </c>
      <c r="BE9" s="15" t="n">
        <f aca="false">BD9+2</f>
        <v>46183</v>
      </c>
      <c r="BF9" s="15" t="n">
        <f aca="false">BE9+3</f>
        <v>46186</v>
      </c>
      <c r="BG9" s="15" t="n">
        <f aca="false">BF9+2</f>
        <v>46188</v>
      </c>
      <c r="BH9" s="15" t="n">
        <f aca="false">BG9+2</f>
        <v>46190</v>
      </c>
      <c r="BI9" s="15" t="n">
        <f aca="false">BH9+3</f>
        <v>46193</v>
      </c>
      <c r="BJ9" s="15" t="n">
        <f aca="false">BI9+2</f>
        <v>46195</v>
      </c>
      <c r="BK9" s="15" t="n">
        <f aca="false">BJ9+2</f>
        <v>46197</v>
      </c>
      <c r="BL9" s="15" t="n">
        <f aca="false">BK9+3</f>
        <v>46200</v>
      </c>
      <c r="BM9" s="15" t="n">
        <f aca="false">BL9+2</f>
        <v>46202</v>
      </c>
      <c r="BN9" s="15" t="n">
        <f aca="false">BM9+2</f>
        <v>46204</v>
      </c>
      <c r="BO9" s="15" t="n">
        <f aca="false">BN9+3</f>
        <v>46207</v>
      </c>
      <c r="BP9" s="15" t="n">
        <f aca="false">BO9+2</f>
        <v>46209</v>
      </c>
      <c r="BQ9" s="15" t="n">
        <f aca="false">BP9+2</f>
        <v>46211</v>
      </c>
      <c r="BR9" s="15" t="n">
        <f aca="false">BQ9+3</f>
        <v>46214</v>
      </c>
      <c r="BS9" s="15" t="n">
        <f aca="false">BR9+2</f>
        <v>46216</v>
      </c>
      <c r="BT9" s="15" t="n">
        <f aca="false">BS9+2</f>
        <v>46218</v>
      </c>
      <c r="BU9" s="15" t="n">
        <f aca="false">BT9+3</f>
        <v>46221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</row>
    <row r="10" customFormat="false" ht="15.75" hidden="false" customHeight="true" outlineLevel="0" collapsed="false">
      <c r="A10" s="17" t="n">
        <v>1</v>
      </c>
      <c r="B10" s="50" t="n">
        <v>26245</v>
      </c>
      <c r="C10" s="51" t="s">
        <v>110</v>
      </c>
      <c r="D10" s="52" t="n">
        <f aca="false">COUNTIF($G10:$BU10,D$9)</f>
        <v>49</v>
      </c>
      <c r="E10" s="17" t="n">
        <f aca="false">COUNTIF($G10:$BU10,E$9)</f>
        <v>6</v>
      </c>
      <c r="F10" s="17" t="n">
        <f aca="false">COUNTIF($G10:$BU10,F$9)</f>
        <v>0</v>
      </c>
      <c r="G10" s="18" t="s">
        <v>56</v>
      </c>
      <c r="H10" s="18" t="s">
        <v>9</v>
      </c>
      <c r="I10" s="18" t="s">
        <v>9</v>
      </c>
      <c r="J10" s="18" t="s">
        <v>56</v>
      </c>
      <c r="K10" s="18" t="s">
        <v>9</v>
      </c>
      <c r="L10" s="18" t="s">
        <v>9</v>
      </c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9</v>
      </c>
      <c r="R10" s="18" t="s">
        <v>9</v>
      </c>
      <c r="S10" s="18" t="s">
        <v>9</v>
      </c>
      <c r="T10" s="18" t="s">
        <v>9</v>
      </c>
      <c r="U10" s="18" t="s">
        <v>56</v>
      </c>
      <c r="V10" s="18" t="s">
        <v>56</v>
      </c>
      <c r="W10" s="18" t="s">
        <v>56</v>
      </c>
      <c r="X10" s="18" t="s">
        <v>56</v>
      </c>
      <c r="Y10" s="18" t="s">
        <v>56</v>
      </c>
      <c r="Z10" s="18" t="s">
        <v>9</v>
      </c>
      <c r="AA10" s="18" t="s">
        <v>9</v>
      </c>
      <c r="AB10" s="18" t="s">
        <v>9</v>
      </c>
      <c r="AC10" s="18" t="s">
        <v>9</v>
      </c>
      <c r="AD10" s="18" t="s">
        <v>9</v>
      </c>
      <c r="AE10" s="18" t="s">
        <v>9</v>
      </c>
      <c r="AF10" s="18" t="s">
        <v>9</v>
      </c>
      <c r="AG10" s="18" t="s">
        <v>9</v>
      </c>
      <c r="AH10" s="18" t="s">
        <v>9</v>
      </c>
      <c r="AI10" s="18" t="s">
        <v>9</v>
      </c>
      <c r="AJ10" s="18" t="s">
        <v>9</v>
      </c>
      <c r="AK10" s="18" t="s">
        <v>9</v>
      </c>
      <c r="AL10" s="18" t="s">
        <v>9</v>
      </c>
      <c r="AM10" s="18" t="s">
        <v>9</v>
      </c>
      <c r="AN10" s="18" t="s">
        <v>9</v>
      </c>
      <c r="AO10" s="18" t="s">
        <v>9</v>
      </c>
      <c r="AP10" s="18" t="s">
        <v>9</v>
      </c>
      <c r="AQ10" s="18" t="s">
        <v>9</v>
      </c>
      <c r="AR10" s="18" t="s">
        <v>9</v>
      </c>
      <c r="AS10" s="18" t="s">
        <v>9</v>
      </c>
      <c r="AT10" s="18" t="s">
        <v>9</v>
      </c>
      <c r="AU10" s="18" t="s">
        <v>9</v>
      </c>
      <c r="AV10" s="18" t="s">
        <v>9</v>
      </c>
      <c r="AW10" s="18" t="s">
        <v>9</v>
      </c>
      <c r="AX10" s="18" t="s">
        <v>56</v>
      </c>
      <c r="AY10" s="18" t="s">
        <v>56</v>
      </c>
      <c r="AZ10" s="18" t="s">
        <v>56</v>
      </c>
      <c r="BA10" s="18" t="s">
        <v>56</v>
      </c>
      <c r="BB10" s="18" t="s">
        <v>9</v>
      </c>
      <c r="BC10" s="18" t="s">
        <v>9</v>
      </c>
      <c r="BD10" s="18" t="s">
        <v>9</v>
      </c>
      <c r="BE10" s="18" t="s">
        <v>9</v>
      </c>
      <c r="BF10" s="18" t="s">
        <v>9</v>
      </c>
      <c r="BG10" s="18" t="s">
        <v>9</v>
      </c>
      <c r="BH10" s="18" t="s">
        <v>9</v>
      </c>
      <c r="BI10" s="18" t="s">
        <v>9</v>
      </c>
      <c r="BJ10" s="18" t="s">
        <v>9</v>
      </c>
      <c r="BK10" s="18" t="s">
        <v>9</v>
      </c>
      <c r="BL10" s="18" t="s">
        <v>9</v>
      </c>
      <c r="BM10" s="18" t="s">
        <v>9</v>
      </c>
      <c r="BN10" s="18" t="s">
        <v>10</v>
      </c>
      <c r="BO10" s="18" t="s">
        <v>56</v>
      </c>
      <c r="BP10" s="18" t="s">
        <v>9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</row>
    <row r="11" customFormat="false" ht="15.75" hidden="false" customHeight="true" outlineLevel="0" collapsed="false">
      <c r="A11" s="17" t="n">
        <v>2</v>
      </c>
      <c r="B11" s="50" t="n">
        <v>26242</v>
      </c>
      <c r="C11" s="53" t="s">
        <v>111</v>
      </c>
      <c r="D11" s="52" t="n">
        <f aca="false">COUNTIF($G11:$BU11,D$9)</f>
        <v>48</v>
      </c>
      <c r="E11" s="17" t="n">
        <f aca="false">COUNTIF($G11:$BU11,E$9)</f>
        <v>3</v>
      </c>
      <c r="F11" s="17" t="n">
        <f aca="false">COUNTIF($G11:$BU11,F$9)</f>
        <v>4</v>
      </c>
      <c r="G11" s="18" t="s">
        <v>56</v>
      </c>
      <c r="H11" s="18" t="s">
        <v>9</v>
      </c>
      <c r="I11" s="18" t="s">
        <v>9</v>
      </c>
      <c r="J11" s="18" t="s">
        <v>56</v>
      </c>
      <c r="K11" s="18" t="s">
        <v>10</v>
      </c>
      <c r="L11" s="18" t="s">
        <v>9</v>
      </c>
      <c r="M11" s="18" t="s">
        <v>9</v>
      </c>
      <c r="N11" s="18" t="s">
        <v>9</v>
      </c>
      <c r="O11" s="18" t="s">
        <v>9</v>
      </c>
      <c r="P11" s="18" t="s">
        <v>9</v>
      </c>
      <c r="Q11" s="18" t="s">
        <v>9</v>
      </c>
      <c r="R11" s="18" t="s">
        <v>9</v>
      </c>
      <c r="S11" s="18" t="s">
        <v>9</v>
      </c>
      <c r="T11" s="18" t="s">
        <v>9</v>
      </c>
      <c r="U11" s="18" t="s">
        <v>56</v>
      </c>
      <c r="V11" s="18" t="s">
        <v>56</v>
      </c>
      <c r="W11" s="18" t="s">
        <v>56</v>
      </c>
      <c r="X11" s="18" t="s">
        <v>56</v>
      </c>
      <c r="Y11" s="18" t="s">
        <v>56</v>
      </c>
      <c r="Z11" s="18" t="s">
        <v>9</v>
      </c>
      <c r="AA11" s="18" t="s">
        <v>9</v>
      </c>
      <c r="AB11" s="18" t="s">
        <v>9</v>
      </c>
      <c r="AC11" s="18" t="s">
        <v>9</v>
      </c>
      <c r="AD11" s="18" t="s">
        <v>9</v>
      </c>
      <c r="AE11" s="18" t="s">
        <v>9</v>
      </c>
      <c r="AF11" s="18" t="s">
        <v>9</v>
      </c>
      <c r="AG11" s="18" t="s">
        <v>9</v>
      </c>
      <c r="AH11" s="18" t="s">
        <v>9</v>
      </c>
      <c r="AI11" s="18" t="s">
        <v>9</v>
      </c>
      <c r="AJ11" s="18" t="s">
        <v>9</v>
      </c>
      <c r="AK11" s="18" t="s">
        <v>9</v>
      </c>
      <c r="AL11" s="18" t="s">
        <v>9</v>
      </c>
      <c r="AM11" s="18" t="s">
        <v>9</v>
      </c>
      <c r="AN11" s="18" t="s">
        <v>9</v>
      </c>
      <c r="AO11" s="18" t="s">
        <v>9</v>
      </c>
      <c r="AP11" s="18" t="s">
        <v>9</v>
      </c>
      <c r="AQ11" s="18" t="s">
        <v>9</v>
      </c>
      <c r="AR11" s="18" t="s">
        <v>9</v>
      </c>
      <c r="AS11" s="18" t="s">
        <v>9</v>
      </c>
      <c r="AT11" s="18" t="s">
        <v>9</v>
      </c>
      <c r="AU11" s="18" t="s">
        <v>9</v>
      </c>
      <c r="AV11" s="18" t="s">
        <v>9</v>
      </c>
      <c r="AW11" s="18" t="s">
        <v>9</v>
      </c>
      <c r="AX11" s="18" t="s">
        <v>56</v>
      </c>
      <c r="AY11" s="18" t="s">
        <v>56</v>
      </c>
      <c r="AZ11" s="18" t="s">
        <v>56</v>
      </c>
      <c r="BA11" s="18" t="s">
        <v>56</v>
      </c>
      <c r="BB11" s="18" t="s">
        <v>9</v>
      </c>
      <c r="BC11" s="18" t="s">
        <v>9</v>
      </c>
      <c r="BD11" s="18" t="s">
        <v>9</v>
      </c>
      <c r="BE11" s="18" t="s">
        <v>11</v>
      </c>
      <c r="BF11" s="18" t="s">
        <v>9</v>
      </c>
      <c r="BG11" s="18" t="s">
        <v>9</v>
      </c>
      <c r="BH11" s="18" t="s">
        <v>9</v>
      </c>
      <c r="BI11" s="18" t="s">
        <v>9</v>
      </c>
      <c r="BJ11" s="18" t="s">
        <v>9</v>
      </c>
      <c r="BK11" s="18" t="s">
        <v>9</v>
      </c>
      <c r="BL11" s="18" t="s">
        <v>9</v>
      </c>
      <c r="BM11" s="18" t="s">
        <v>9</v>
      </c>
      <c r="BN11" s="18" t="s">
        <v>11</v>
      </c>
      <c r="BO11" s="18" t="s">
        <v>56</v>
      </c>
      <c r="BP11" s="18" t="s">
        <v>10</v>
      </c>
      <c r="BQ11" s="18" t="s">
        <v>9</v>
      </c>
      <c r="BR11" s="18" t="s">
        <v>9</v>
      </c>
      <c r="BS11" s="18" t="s">
        <v>11</v>
      </c>
      <c r="BT11" s="18" t="s">
        <v>11</v>
      </c>
      <c r="BU11" s="18" t="s">
        <v>10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</row>
    <row r="12" customFormat="false" ht="15.75" hidden="false" customHeight="true" outlineLevel="0" collapsed="false">
      <c r="A12" s="17" t="n">
        <v>3</v>
      </c>
      <c r="B12" s="50" t="n">
        <v>26241</v>
      </c>
      <c r="C12" s="53" t="s">
        <v>112</v>
      </c>
      <c r="D12" s="52" t="n">
        <f aca="false">COUNTIF($G12:$BU12,D$9)</f>
        <v>53</v>
      </c>
      <c r="E12" s="17" t="n">
        <f aca="false">COUNTIF($G12:$BU12,E$9)</f>
        <v>0</v>
      </c>
      <c r="F12" s="17" t="n">
        <f aca="false">COUNTIF($G12:$BU12,F$9)</f>
        <v>2</v>
      </c>
      <c r="G12" s="18" t="s">
        <v>56</v>
      </c>
      <c r="H12" s="18" t="s">
        <v>9</v>
      </c>
      <c r="I12" s="18" t="s">
        <v>9</v>
      </c>
      <c r="J12" s="18" t="s">
        <v>56</v>
      </c>
      <c r="K12" s="18" t="s">
        <v>9</v>
      </c>
      <c r="L12" s="18" t="s">
        <v>9</v>
      </c>
      <c r="M12" s="18" t="s">
        <v>9</v>
      </c>
      <c r="N12" s="18" t="s">
        <v>9</v>
      </c>
      <c r="O12" s="18" t="s">
        <v>9</v>
      </c>
      <c r="P12" s="18" t="s">
        <v>9</v>
      </c>
      <c r="Q12" s="18" t="s">
        <v>9</v>
      </c>
      <c r="R12" s="18" t="s">
        <v>9</v>
      </c>
      <c r="S12" s="18" t="s">
        <v>9</v>
      </c>
      <c r="T12" s="18" t="s">
        <v>9</v>
      </c>
      <c r="U12" s="18" t="s">
        <v>56</v>
      </c>
      <c r="V12" s="18" t="s">
        <v>56</v>
      </c>
      <c r="W12" s="18" t="s">
        <v>56</v>
      </c>
      <c r="X12" s="18" t="s">
        <v>56</v>
      </c>
      <c r="Y12" s="18" t="s">
        <v>56</v>
      </c>
      <c r="Z12" s="18" t="s">
        <v>9</v>
      </c>
      <c r="AA12" s="18" t="s">
        <v>9</v>
      </c>
      <c r="AB12" s="18" t="s">
        <v>9</v>
      </c>
      <c r="AC12" s="18" t="s">
        <v>9</v>
      </c>
      <c r="AD12" s="18" t="s">
        <v>9</v>
      </c>
      <c r="AE12" s="18" t="s">
        <v>9</v>
      </c>
      <c r="AF12" s="18" t="s">
        <v>9</v>
      </c>
      <c r="AG12" s="18" t="s">
        <v>9</v>
      </c>
      <c r="AH12" s="18" t="s">
        <v>9</v>
      </c>
      <c r="AI12" s="18" t="s">
        <v>9</v>
      </c>
      <c r="AJ12" s="18" t="s">
        <v>9</v>
      </c>
      <c r="AK12" s="18" t="s">
        <v>9</v>
      </c>
      <c r="AL12" s="18" t="s">
        <v>9</v>
      </c>
      <c r="AM12" s="18" t="s">
        <v>9</v>
      </c>
      <c r="AN12" s="18" t="s">
        <v>9</v>
      </c>
      <c r="AO12" s="18" t="s">
        <v>9</v>
      </c>
      <c r="AP12" s="18" t="s">
        <v>9</v>
      </c>
      <c r="AQ12" s="18" t="s">
        <v>9</v>
      </c>
      <c r="AR12" s="18" t="s">
        <v>9</v>
      </c>
      <c r="AS12" s="18" t="s">
        <v>9</v>
      </c>
      <c r="AT12" s="18" t="s">
        <v>9</v>
      </c>
      <c r="AU12" s="18" t="s">
        <v>9</v>
      </c>
      <c r="AV12" s="18" t="s">
        <v>9</v>
      </c>
      <c r="AW12" s="18" t="s">
        <v>9</v>
      </c>
      <c r="AX12" s="18" t="s">
        <v>56</v>
      </c>
      <c r="AY12" s="18" t="s">
        <v>56</v>
      </c>
      <c r="AZ12" s="18" t="s">
        <v>56</v>
      </c>
      <c r="BA12" s="18" t="s">
        <v>56</v>
      </c>
      <c r="BB12" s="18" t="s">
        <v>9</v>
      </c>
      <c r="BC12" s="18" t="s">
        <v>9</v>
      </c>
      <c r="BD12" s="18" t="s">
        <v>9</v>
      </c>
      <c r="BE12" s="18" t="s">
        <v>9</v>
      </c>
      <c r="BF12" s="18" t="s">
        <v>9</v>
      </c>
      <c r="BG12" s="18" t="s">
        <v>9</v>
      </c>
      <c r="BH12" s="18" t="s">
        <v>9</v>
      </c>
      <c r="BI12" s="18" t="s">
        <v>9</v>
      </c>
      <c r="BJ12" s="18" t="s">
        <v>9</v>
      </c>
      <c r="BK12" s="18" t="s">
        <v>9</v>
      </c>
      <c r="BL12" s="18" t="s">
        <v>9</v>
      </c>
      <c r="BM12" s="18" t="s">
        <v>9</v>
      </c>
      <c r="BN12" s="18" t="s">
        <v>9</v>
      </c>
      <c r="BO12" s="18" t="s">
        <v>56</v>
      </c>
      <c r="BP12" s="18" t="s">
        <v>9</v>
      </c>
      <c r="BQ12" s="18" t="s">
        <v>9</v>
      </c>
      <c r="BR12" s="18" t="s">
        <v>11</v>
      </c>
      <c r="BS12" s="18" t="s">
        <v>11</v>
      </c>
      <c r="BT12" s="18" t="s">
        <v>9</v>
      </c>
      <c r="BU12" s="18" t="s">
        <v>9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</row>
    <row r="13" customFormat="false" ht="15.75" hidden="false" customHeight="true" outlineLevel="0" collapsed="false">
      <c r="A13" s="17" t="n">
        <v>4</v>
      </c>
      <c r="B13" s="50" t="n">
        <v>26243</v>
      </c>
      <c r="C13" s="51" t="s">
        <v>113</v>
      </c>
      <c r="D13" s="52" t="n">
        <f aca="false">COUNTIF($G13:$BU13,D$9)</f>
        <v>38</v>
      </c>
      <c r="E13" s="17" t="n">
        <f aca="false">COUNTIF($G13:$BU13,E$9)</f>
        <v>15</v>
      </c>
      <c r="F13" s="17" t="n">
        <f aca="false">COUNTIF($G13:$BU13,F$9)</f>
        <v>2</v>
      </c>
      <c r="G13" s="18" t="s">
        <v>56</v>
      </c>
      <c r="H13" s="18" t="s">
        <v>9</v>
      </c>
      <c r="I13" s="18" t="s">
        <v>9</v>
      </c>
      <c r="J13" s="18" t="s">
        <v>56</v>
      </c>
      <c r="K13" s="18" t="s">
        <v>10</v>
      </c>
      <c r="L13" s="18" t="s">
        <v>9</v>
      </c>
      <c r="M13" s="18" t="s">
        <v>9</v>
      </c>
      <c r="N13" s="18" t="s">
        <v>9</v>
      </c>
      <c r="O13" s="18" t="s">
        <v>9</v>
      </c>
      <c r="P13" s="18" t="s">
        <v>9</v>
      </c>
      <c r="Q13" s="18" t="s">
        <v>9</v>
      </c>
      <c r="R13" s="18" t="s">
        <v>10</v>
      </c>
      <c r="S13" s="18" t="s">
        <v>9</v>
      </c>
      <c r="T13" s="18" t="s">
        <v>9</v>
      </c>
      <c r="U13" s="18" t="s">
        <v>56</v>
      </c>
      <c r="V13" s="18" t="s">
        <v>56</v>
      </c>
      <c r="W13" s="18" t="s">
        <v>56</v>
      </c>
      <c r="X13" s="18" t="s">
        <v>56</v>
      </c>
      <c r="Y13" s="18" t="s">
        <v>56</v>
      </c>
      <c r="Z13" s="18" t="s">
        <v>9</v>
      </c>
      <c r="AA13" s="18" t="s">
        <v>11</v>
      </c>
      <c r="AB13" s="18" t="s">
        <v>9</v>
      </c>
      <c r="AC13" s="18" t="s">
        <v>9</v>
      </c>
      <c r="AD13" s="18" t="s">
        <v>9</v>
      </c>
      <c r="AE13" s="18" t="s">
        <v>9</v>
      </c>
      <c r="AF13" s="18" t="s">
        <v>10</v>
      </c>
      <c r="AG13" s="18" t="s">
        <v>9</v>
      </c>
      <c r="AH13" s="18" t="s">
        <v>9</v>
      </c>
      <c r="AI13" s="18" t="s">
        <v>9</v>
      </c>
      <c r="AJ13" s="18" t="s">
        <v>9</v>
      </c>
      <c r="AK13" s="18" t="s">
        <v>9</v>
      </c>
      <c r="AL13" s="18" t="s">
        <v>11</v>
      </c>
      <c r="AM13" s="18" t="s">
        <v>9</v>
      </c>
      <c r="AN13" s="18" t="s">
        <v>9</v>
      </c>
      <c r="AO13" s="18" t="s">
        <v>9</v>
      </c>
      <c r="AP13" s="18" t="s">
        <v>9</v>
      </c>
      <c r="AQ13" s="18" t="s">
        <v>9</v>
      </c>
      <c r="AR13" s="18" t="s">
        <v>9</v>
      </c>
      <c r="AS13" s="18" t="s">
        <v>9</v>
      </c>
      <c r="AT13" s="18" t="s">
        <v>10</v>
      </c>
      <c r="AU13" s="18" t="s">
        <v>10</v>
      </c>
      <c r="AV13" s="18" t="s">
        <v>9</v>
      </c>
      <c r="AW13" s="18" t="s">
        <v>9</v>
      </c>
      <c r="AX13" s="18" t="s">
        <v>56</v>
      </c>
      <c r="AY13" s="18" t="s">
        <v>56</v>
      </c>
      <c r="AZ13" s="18" t="s">
        <v>56</v>
      </c>
      <c r="BA13" s="18" t="s">
        <v>56</v>
      </c>
      <c r="BB13" s="18" t="s">
        <v>10</v>
      </c>
      <c r="BC13" s="18" t="s">
        <v>9</v>
      </c>
      <c r="BD13" s="18" t="s">
        <v>9</v>
      </c>
      <c r="BE13" s="18" t="s">
        <v>9</v>
      </c>
      <c r="BF13" s="18" t="s">
        <v>9</v>
      </c>
      <c r="BG13" s="18" t="s">
        <v>10</v>
      </c>
      <c r="BH13" s="18" t="s">
        <v>9</v>
      </c>
      <c r="BI13" s="18" t="s">
        <v>10</v>
      </c>
      <c r="BJ13" s="18" t="s">
        <v>9</v>
      </c>
      <c r="BK13" s="18" t="s">
        <v>9</v>
      </c>
      <c r="BL13" s="18" t="s">
        <v>9</v>
      </c>
      <c r="BM13" s="18" t="s">
        <v>9</v>
      </c>
      <c r="BN13" s="18" t="s">
        <v>10</v>
      </c>
      <c r="BO13" s="18" t="s">
        <v>56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</row>
    <row r="14" customFormat="false" ht="15.75" hidden="false" customHeight="true" outlineLevel="0" collapsed="false">
      <c r="A14" s="17" t="n">
        <v>5</v>
      </c>
      <c r="B14" s="50" t="n">
        <v>26247</v>
      </c>
      <c r="C14" s="53" t="s">
        <v>114</v>
      </c>
      <c r="D14" s="52" t="n">
        <f aca="false">COUNTIF($G14:$BU14,D$9)</f>
        <v>46</v>
      </c>
      <c r="E14" s="17" t="n">
        <f aca="false">COUNTIF($G14:$BU14,E$9)</f>
        <v>7</v>
      </c>
      <c r="F14" s="17" t="n">
        <f aca="false">COUNTIF($G14:$BU14,F$9)</f>
        <v>2</v>
      </c>
      <c r="G14" s="18" t="s">
        <v>56</v>
      </c>
      <c r="H14" s="18" t="s">
        <v>9</v>
      </c>
      <c r="I14" s="18" t="s">
        <v>9</v>
      </c>
      <c r="J14" s="18" t="s">
        <v>56</v>
      </c>
      <c r="K14" s="18" t="s">
        <v>9</v>
      </c>
      <c r="L14" s="18" t="s">
        <v>9</v>
      </c>
      <c r="M14" s="18" t="s">
        <v>9</v>
      </c>
      <c r="N14" s="18" t="s">
        <v>9</v>
      </c>
      <c r="O14" s="18" t="s">
        <v>9</v>
      </c>
      <c r="P14" s="18" t="s">
        <v>9</v>
      </c>
      <c r="Q14" s="18" t="s">
        <v>9</v>
      </c>
      <c r="R14" s="18" t="s">
        <v>9</v>
      </c>
      <c r="S14" s="18" t="s">
        <v>9</v>
      </c>
      <c r="T14" s="18" t="s">
        <v>9</v>
      </c>
      <c r="U14" s="18" t="s">
        <v>56</v>
      </c>
      <c r="V14" s="18" t="s">
        <v>56</v>
      </c>
      <c r="W14" s="18" t="s">
        <v>56</v>
      </c>
      <c r="X14" s="18" t="s">
        <v>56</v>
      </c>
      <c r="Y14" s="18" t="s">
        <v>56</v>
      </c>
      <c r="Z14" s="18" t="s">
        <v>9</v>
      </c>
      <c r="AA14" s="18" t="s">
        <v>9</v>
      </c>
      <c r="AB14" s="18" t="s">
        <v>9</v>
      </c>
      <c r="AC14" s="18" t="s">
        <v>9</v>
      </c>
      <c r="AD14" s="18" t="s">
        <v>9</v>
      </c>
      <c r="AE14" s="18" t="s">
        <v>9</v>
      </c>
      <c r="AF14" s="18" t="s">
        <v>9</v>
      </c>
      <c r="AG14" s="18" t="s">
        <v>9</v>
      </c>
      <c r="AH14" s="18" t="s">
        <v>9</v>
      </c>
      <c r="AI14" s="18" t="s">
        <v>9</v>
      </c>
      <c r="AJ14" s="18" t="s">
        <v>9</v>
      </c>
      <c r="AK14" s="18" t="s">
        <v>9</v>
      </c>
      <c r="AL14" s="18" t="s">
        <v>9</v>
      </c>
      <c r="AM14" s="18" t="s">
        <v>9</v>
      </c>
      <c r="AN14" s="18" t="s">
        <v>9</v>
      </c>
      <c r="AO14" s="18" t="s">
        <v>9</v>
      </c>
      <c r="AP14" s="18" t="s">
        <v>9</v>
      </c>
      <c r="AQ14" s="18" t="s">
        <v>11</v>
      </c>
      <c r="AR14" s="18" t="s">
        <v>9</v>
      </c>
      <c r="AS14" s="18" t="s">
        <v>9</v>
      </c>
      <c r="AT14" s="18" t="s">
        <v>9</v>
      </c>
      <c r="AU14" s="18" t="s">
        <v>9</v>
      </c>
      <c r="AV14" s="18" t="s">
        <v>9</v>
      </c>
      <c r="AW14" s="18" t="s">
        <v>9</v>
      </c>
      <c r="AX14" s="18" t="s">
        <v>56</v>
      </c>
      <c r="AY14" s="18" t="s">
        <v>56</v>
      </c>
      <c r="AZ14" s="18" t="s">
        <v>56</v>
      </c>
      <c r="BA14" s="18" t="s">
        <v>56</v>
      </c>
      <c r="BB14" s="18" t="s">
        <v>11</v>
      </c>
      <c r="BC14" s="18" t="s">
        <v>9</v>
      </c>
      <c r="BD14" s="18" t="s">
        <v>9</v>
      </c>
      <c r="BE14" s="18" t="s">
        <v>9</v>
      </c>
      <c r="BF14" s="18" t="s">
        <v>9</v>
      </c>
      <c r="BG14" s="18" t="s">
        <v>9</v>
      </c>
      <c r="BH14" s="18" t="s">
        <v>9</v>
      </c>
      <c r="BI14" s="18" t="s">
        <v>9</v>
      </c>
      <c r="BJ14" s="18" t="s">
        <v>9</v>
      </c>
      <c r="BK14" s="18" t="s">
        <v>9</v>
      </c>
      <c r="BL14" s="18" t="s">
        <v>9</v>
      </c>
      <c r="BM14" s="18" t="s">
        <v>9</v>
      </c>
      <c r="BN14" s="18" t="s">
        <v>10</v>
      </c>
      <c r="BO14" s="18" t="s">
        <v>56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</row>
    <row r="15" customFormat="false" ht="15.75" hidden="false" customHeight="true" outlineLevel="0" collapsed="false">
      <c r="A15" s="17" t="n">
        <v>6</v>
      </c>
      <c r="B15" s="50" t="n">
        <v>26248</v>
      </c>
      <c r="C15" s="51" t="s">
        <v>115</v>
      </c>
      <c r="D15" s="52" t="n">
        <f aca="false">COUNTIF($G15:$BU15,D$9)</f>
        <v>49</v>
      </c>
      <c r="E15" s="17" t="n">
        <f aca="false">COUNTIF($G15:$BU15,E$9)</f>
        <v>6</v>
      </c>
      <c r="F15" s="17" t="n">
        <f aca="false">COUNTIF($G15:$BU15,F$9)</f>
        <v>0</v>
      </c>
      <c r="G15" s="18" t="s">
        <v>56</v>
      </c>
      <c r="H15" s="18" t="s">
        <v>9</v>
      </c>
      <c r="I15" s="18" t="s">
        <v>9</v>
      </c>
      <c r="J15" s="18" t="s">
        <v>56</v>
      </c>
      <c r="K15" s="18" t="s">
        <v>9</v>
      </c>
      <c r="L15" s="18" t="s">
        <v>9</v>
      </c>
      <c r="M15" s="18" t="s">
        <v>9</v>
      </c>
      <c r="N15" s="18" t="s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9</v>
      </c>
      <c r="U15" s="18" t="s">
        <v>56</v>
      </c>
      <c r="V15" s="18" t="s">
        <v>56</v>
      </c>
      <c r="W15" s="18" t="s">
        <v>56</v>
      </c>
      <c r="X15" s="18" t="s">
        <v>56</v>
      </c>
      <c r="Y15" s="18" t="s">
        <v>56</v>
      </c>
      <c r="Z15" s="18" t="s">
        <v>9</v>
      </c>
      <c r="AA15" s="18" t="s">
        <v>9</v>
      </c>
      <c r="AB15" s="18" t="s">
        <v>9</v>
      </c>
      <c r="AC15" s="18" t="s">
        <v>9</v>
      </c>
      <c r="AD15" s="18" t="s">
        <v>9</v>
      </c>
      <c r="AE15" s="18" t="s">
        <v>9</v>
      </c>
      <c r="AF15" s="18" t="s">
        <v>9</v>
      </c>
      <c r="AG15" s="18" t="s">
        <v>9</v>
      </c>
      <c r="AH15" s="18" t="s">
        <v>9</v>
      </c>
      <c r="AI15" s="18" t="s">
        <v>9</v>
      </c>
      <c r="AJ15" s="18" t="s">
        <v>9</v>
      </c>
      <c r="AK15" s="18" t="s">
        <v>9</v>
      </c>
      <c r="AL15" s="18" t="s">
        <v>9</v>
      </c>
      <c r="AM15" s="18" t="s">
        <v>9</v>
      </c>
      <c r="AN15" s="18" t="s">
        <v>9</v>
      </c>
      <c r="AO15" s="18" t="s">
        <v>9</v>
      </c>
      <c r="AP15" s="18" t="s">
        <v>9</v>
      </c>
      <c r="AQ15" s="18" t="s">
        <v>9</v>
      </c>
      <c r="AR15" s="18" t="s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8" t="s">
        <v>9</v>
      </c>
      <c r="AX15" s="18" t="s">
        <v>56</v>
      </c>
      <c r="AY15" s="18" t="s">
        <v>56</v>
      </c>
      <c r="AZ15" s="18" t="s">
        <v>56</v>
      </c>
      <c r="BA15" s="18" t="s">
        <v>56</v>
      </c>
      <c r="BB15" s="18" t="s">
        <v>9</v>
      </c>
      <c r="BC15" s="18" t="s">
        <v>9</v>
      </c>
      <c r="BD15" s="18" t="s">
        <v>9</v>
      </c>
      <c r="BE15" s="18" t="s">
        <v>9</v>
      </c>
      <c r="BF15" s="18" t="s">
        <v>9</v>
      </c>
      <c r="BG15" s="18" t="s">
        <v>9</v>
      </c>
      <c r="BH15" s="18" t="s">
        <v>9</v>
      </c>
      <c r="BI15" s="18" t="s">
        <v>9</v>
      </c>
      <c r="BJ15" s="18" t="s">
        <v>9</v>
      </c>
      <c r="BK15" s="18" t="s">
        <v>9</v>
      </c>
      <c r="BL15" s="18" t="s">
        <v>9</v>
      </c>
      <c r="BM15" s="18" t="s">
        <v>9</v>
      </c>
      <c r="BN15" s="18" t="s">
        <v>9</v>
      </c>
      <c r="BO15" s="18" t="s">
        <v>56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</row>
    <row r="16" customFormat="false" ht="15.75" hidden="false" customHeight="true" outlineLevel="0" collapsed="false">
      <c r="A16" s="17" t="n">
        <v>7</v>
      </c>
      <c r="B16" s="50" t="n">
        <v>26246</v>
      </c>
      <c r="C16" s="53" t="s">
        <v>116</v>
      </c>
      <c r="D16" s="52" t="n">
        <f aca="false">COUNTIF($G16:$BU16,D$9)</f>
        <v>50</v>
      </c>
      <c r="E16" s="17" t="n">
        <f aca="false">COUNTIF($G16:$BU16,E$9)</f>
        <v>5</v>
      </c>
      <c r="F16" s="17" t="n">
        <f aca="false">COUNTIF($G16:$BU16,F$9)</f>
        <v>0</v>
      </c>
      <c r="G16" s="18" t="s">
        <v>56</v>
      </c>
      <c r="H16" s="18" t="s">
        <v>9</v>
      </c>
      <c r="I16" s="18" t="s">
        <v>9</v>
      </c>
      <c r="J16" s="18" t="s">
        <v>56</v>
      </c>
      <c r="K16" s="18" t="s">
        <v>9</v>
      </c>
      <c r="L16" s="18" t="s">
        <v>9</v>
      </c>
      <c r="M16" s="18" t="s">
        <v>9</v>
      </c>
      <c r="N16" s="18" t="s">
        <v>9</v>
      </c>
      <c r="O16" s="18" t="s">
        <v>9</v>
      </c>
      <c r="P16" s="18" t="s">
        <v>9</v>
      </c>
      <c r="Q16" s="18" t="s">
        <v>9</v>
      </c>
      <c r="R16" s="18" t="s">
        <v>9</v>
      </c>
      <c r="S16" s="18" t="s">
        <v>9</v>
      </c>
      <c r="T16" s="18" t="s">
        <v>9</v>
      </c>
      <c r="U16" s="18" t="s">
        <v>56</v>
      </c>
      <c r="V16" s="18" t="s">
        <v>56</v>
      </c>
      <c r="W16" s="18" t="s">
        <v>56</v>
      </c>
      <c r="X16" s="18" t="s">
        <v>56</v>
      </c>
      <c r="Y16" s="18" t="s">
        <v>56</v>
      </c>
      <c r="Z16" s="18" t="s">
        <v>9</v>
      </c>
      <c r="AA16" s="18" t="s">
        <v>9</v>
      </c>
      <c r="AB16" s="18" t="s">
        <v>9</v>
      </c>
      <c r="AC16" s="18" t="s">
        <v>9</v>
      </c>
      <c r="AD16" s="18" t="s">
        <v>9</v>
      </c>
      <c r="AE16" s="18" t="s">
        <v>9</v>
      </c>
      <c r="AF16" s="18" t="s">
        <v>9</v>
      </c>
      <c r="AG16" s="18" t="s">
        <v>9</v>
      </c>
      <c r="AH16" s="18" t="s">
        <v>9</v>
      </c>
      <c r="AI16" s="18" t="s">
        <v>9</v>
      </c>
      <c r="AJ16" s="18" t="s">
        <v>9</v>
      </c>
      <c r="AK16" s="18" t="s">
        <v>9</v>
      </c>
      <c r="AL16" s="18" t="s">
        <v>9</v>
      </c>
      <c r="AM16" s="18" t="s">
        <v>9</v>
      </c>
      <c r="AN16" s="18" t="s">
        <v>9</v>
      </c>
      <c r="AO16" s="18" t="s">
        <v>9</v>
      </c>
      <c r="AP16" s="18" t="s">
        <v>9</v>
      </c>
      <c r="AQ16" s="18" t="s">
        <v>9</v>
      </c>
      <c r="AR16" s="18" t="s">
        <v>9</v>
      </c>
      <c r="AS16" s="18" t="s">
        <v>9</v>
      </c>
      <c r="AT16" s="18" t="s">
        <v>9</v>
      </c>
      <c r="AU16" s="18" t="s">
        <v>9</v>
      </c>
      <c r="AV16" s="18" t="s">
        <v>9</v>
      </c>
      <c r="AW16" s="18" t="s">
        <v>9</v>
      </c>
      <c r="AX16" s="18" t="s">
        <v>56</v>
      </c>
      <c r="AY16" s="18" t="s">
        <v>56</v>
      </c>
      <c r="AZ16" s="18" t="s">
        <v>56</v>
      </c>
      <c r="BA16" s="18" t="s">
        <v>56</v>
      </c>
      <c r="BB16" s="18" t="s">
        <v>9</v>
      </c>
      <c r="BC16" s="18" t="s">
        <v>9</v>
      </c>
      <c r="BD16" s="18" t="s">
        <v>9</v>
      </c>
      <c r="BE16" s="18" t="s">
        <v>9</v>
      </c>
      <c r="BF16" s="18" t="s">
        <v>9</v>
      </c>
      <c r="BG16" s="18" t="s">
        <v>9</v>
      </c>
      <c r="BH16" s="18" t="s">
        <v>9</v>
      </c>
      <c r="BI16" s="18" t="s">
        <v>9</v>
      </c>
      <c r="BJ16" s="18" t="s">
        <v>9</v>
      </c>
      <c r="BK16" s="18" t="s">
        <v>9</v>
      </c>
      <c r="BL16" s="18" t="s">
        <v>9</v>
      </c>
      <c r="BM16" s="18" t="s">
        <v>9</v>
      </c>
      <c r="BN16" s="18" t="s">
        <v>9</v>
      </c>
      <c r="BO16" s="18" t="s">
        <v>56</v>
      </c>
      <c r="BP16" s="18" t="s">
        <v>9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</row>
    <row r="17" customFormat="false" ht="15.75" hidden="false" customHeight="true" outlineLevel="0" collapsed="false">
      <c r="A17" s="17" t="n">
        <v>8</v>
      </c>
      <c r="B17" s="50" t="n">
        <v>26250</v>
      </c>
      <c r="C17" s="51" t="s">
        <v>117</v>
      </c>
      <c r="D17" s="52" t="n">
        <f aca="false">COUNTIF($G17:$BU17,D$9)</f>
        <v>35</v>
      </c>
      <c r="E17" s="17" t="n">
        <f aca="false">COUNTIF($G17:$BU17,E$9)</f>
        <v>20</v>
      </c>
      <c r="F17" s="17" t="n">
        <f aca="false">COUNTIF($G17:$BU17,F$9)</f>
        <v>0</v>
      </c>
      <c r="G17" s="18" t="s">
        <v>56</v>
      </c>
      <c r="H17" s="18" t="s">
        <v>9</v>
      </c>
      <c r="I17" s="18" t="s">
        <v>9</v>
      </c>
      <c r="J17" s="18" t="s">
        <v>56</v>
      </c>
      <c r="K17" s="18" t="s">
        <v>9</v>
      </c>
      <c r="L17" s="18" t="s">
        <v>9</v>
      </c>
      <c r="M17" s="18" t="s">
        <v>9</v>
      </c>
      <c r="N17" s="18" t="s">
        <v>9</v>
      </c>
      <c r="O17" s="18" t="s">
        <v>9</v>
      </c>
      <c r="P17" s="18" t="s">
        <v>9</v>
      </c>
      <c r="Q17" s="18" t="s">
        <v>9</v>
      </c>
      <c r="R17" s="18" t="s">
        <v>9</v>
      </c>
      <c r="S17" s="18" t="s">
        <v>9</v>
      </c>
      <c r="T17" s="18" t="s">
        <v>9</v>
      </c>
      <c r="U17" s="18" t="s">
        <v>56</v>
      </c>
      <c r="V17" s="18" t="s">
        <v>56</v>
      </c>
      <c r="W17" s="18" t="s">
        <v>56</v>
      </c>
      <c r="X17" s="18" t="s">
        <v>56</v>
      </c>
      <c r="Y17" s="18" t="s">
        <v>56</v>
      </c>
      <c r="Z17" s="18" t="s">
        <v>9</v>
      </c>
      <c r="AA17" s="18" t="s">
        <v>9</v>
      </c>
      <c r="AB17" s="18" t="s">
        <v>9</v>
      </c>
      <c r="AC17" s="18" t="s">
        <v>9</v>
      </c>
      <c r="AD17" s="18" t="s">
        <v>9</v>
      </c>
      <c r="AE17" s="18" t="s">
        <v>9</v>
      </c>
      <c r="AF17" s="18" t="s">
        <v>9</v>
      </c>
      <c r="AG17" s="18" t="s">
        <v>10</v>
      </c>
      <c r="AH17" s="18" t="s">
        <v>10</v>
      </c>
      <c r="AI17" s="18" t="s">
        <v>10</v>
      </c>
      <c r="AJ17" s="18" t="s">
        <v>9</v>
      </c>
      <c r="AK17" s="18" t="s">
        <v>9</v>
      </c>
      <c r="AL17" s="18" t="s">
        <v>9</v>
      </c>
      <c r="AM17" s="18" t="s">
        <v>9</v>
      </c>
      <c r="AN17" s="18" t="s">
        <v>9</v>
      </c>
      <c r="AO17" s="18" t="s">
        <v>9</v>
      </c>
      <c r="AP17" s="18" t="s">
        <v>10</v>
      </c>
      <c r="AQ17" s="18" t="s">
        <v>9</v>
      </c>
      <c r="AR17" s="18" t="s">
        <v>9</v>
      </c>
      <c r="AS17" s="18" t="s">
        <v>9</v>
      </c>
      <c r="AT17" s="18" t="s">
        <v>9</v>
      </c>
      <c r="AU17" s="18" t="s">
        <v>9</v>
      </c>
      <c r="AV17" s="18" t="s">
        <v>9</v>
      </c>
      <c r="AW17" s="18" t="s">
        <v>10</v>
      </c>
      <c r="AX17" s="18" t="s">
        <v>56</v>
      </c>
      <c r="AY17" s="18" t="s">
        <v>56</v>
      </c>
      <c r="AZ17" s="18" t="s">
        <v>56</v>
      </c>
      <c r="BA17" s="18" t="s">
        <v>56</v>
      </c>
      <c r="BB17" s="18" t="s">
        <v>9</v>
      </c>
      <c r="BC17" s="18" t="s">
        <v>9</v>
      </c>
      <c r="BD17" s="18" t="s">
        <v>9</v>
      </c>
      <c r="BE17" s="18" t="s">
        <v>10</v>
      </c>
      <c r="BF17" s="18" t="s">
        <v>9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56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</row>
    <row r="18" customFormat="false" ht="15.75" hidden="false" customHeight="true" outlineLevel="0" collapsed="false">
      <c r="A18" s="17" t="n">
        <v>9</v>
      </c>
      <c r="B18" s="50" t="n">
        <v>25237</v>
      </c>
      <c r="C18" s="54" t="s">
        <v>22</v>
      </c>
      <c r="D18" s="52" t="n">
        <f aca="false">COUNTIF($G18:$BU18,D$9)</f>
        <v>30</v>
      </c>
      <c r="E18" s="17" t="n">
        <f aca="false">COUNTIF($G18:$BU18,E$9)</f>
        <v>8</v>
      </c>
      <c r="F18" s="17" t="n">
        <f aca="false">COUNTIF($G18:$BU18,F$9)</f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9</v>
      </c>
      <c r="AF18" s="18" t="s">
        <v>9</v>
      </c>
      <c r="AG18" s="18" t="s">
        <v>9</v>
      </c>
      <c r="AH18" s="18" t="s">
        <v>9</v>
      </c>
      <c r="AI18" s="18" t="s">
        <v>9</v>
      </c>
      <c r="AJ18" s="18" t="s">
        <v>9</v>
      </c>
      <c r="AK18" s="18" t="s">
        <v>9</v>
      </c>
      <c r="AL18" s="18" t="s">
        <v>9</v>
      </c>
      <c r="AM18" s="18" t="s">
        <v>9</v>
      </c>
      <c r="AN18" s="18" t="s">
        <v>9</v>
      </c>
      <c r="AO18" s="18" t="s">
        <v>9</v>
      </c>
      <c r="AP18" s="18" t="s">
        <v>9</v>
      </c>
      <c r="AQ18" s="18" t="s">
        <v>9</v>
      </c>
      <c r="AR18" s="18" t="s">
        <v>9</v>
      </c>
      <c r="AS18" s="18" t="s">
        <v>9</v>
      </c>
      <c r="AT18" s="18" t="s">
        <v>9</v>
      </c>
      <c r="AU18" s="18" t="s">
        <v>9</v>
      </c>
      <c r="AV18" s="18" t="s">
        <v>9</v>
      </c>
      <c r="AW18" s="18" t="s">
        <v>9</v>
      </c>
      <c r="AX18" s="18" t="s">
        <v>56</v>
      </c>
      <c r="AY18" s="18" t="s">
        <v>56</v>
      </c>
      <c r="AZ18" s="18" t="s">
        <v>56</v>
      </c>
      <c r="BA18" s="18" t="s">
        <v>56</v>
      </c>
      <c r="BB18" s="18" t="s">
        <v>9</v>
      </c>
      <c r="BC18" s="18" t="s">
        <v>9</v>
      </c>
      <c r="BD18" s="18" t="s">
        <v>9</v>
      </c>
      <c r="BE18" s="18" t="s">
        <v>9</v>
      </c>
      <c r="BF18" s="18" t="s">
        <v>9</v>
      </c>
      <c r="BG18" s="18" t="s">
        <v>10</v>
      </c>
      <c r="BH18" s="18" t="s">
        <v>10</v>
      </c>
      <c r="BI18" s="18" t="s">
        <v>9</v>
      </c>
      <c r="BJ18" s="18" t="s">
        <v>9</v>
      </c>
      <c r="BK18" s="18" t="s">
        <v>10</v>
      </c>
      <c r="BL18" s="18" t="s">
        <v>9</v>
      </c>
      <c r="BM18" s="18" t="s">
        <v>9</v>
      </c>
      <c r="BN18" s="18" t="s">
        <v>9</v>
      </c>
      <c r="BO18" s="18" t="s">
        <v>56</v>
      </c>
      <c r="BP18" s="18" t="s">
        <v>10</v>
      </c>
      <c r="BQ18" s="18" t="s">
        <v>10</v>
      </c>
      <c r="BR18" s="18" t="s">
        <v>10</v>
      </c>
      <c r="BS18" s="18" t="s">
        <v>9</v>
      </c>
      <c r="BT18" s="18" t="s">
        <v>10</v>
      </c>
      <c r="BU18" s="18" t="s">
        <v>10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</row>
    <row r="19" customFormat="false" ht="15.75" hidden="false" customHeight="true" outlineLevel="0" collapsed="false">
      <c r="A19" s="17" t="n">
        <v>10</v>
      </c>
      <c r="B19" s="19" t="n">
        <v>25225</v>
      </c>
      <c r="C19" s="55" t="s">
        <v>118</v>
      </c>
      <c r="D19" s="17" t="n">
        <f aca="false">COUNTIF($G19:$BU19,D$9)</f>
        <v>31</v>
      </c>
      <c r="E19" s="17" t="n">
        <f aca="false">COUNTIF($G19:$BU19,E$9)</f>
        <v>7</v>
      </c>
      <c r="F19" s="17" t="n">
        <f aca="false">COUNTIF($G19:$BU19,F$9)</f>
        <v>2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 t="s">
        <v>9</v>
      </c>
      <c r="AD19" s="18" t="s">
        <v>9</v>
      </c>
      <c r="AE19" s="18" t="s">
        <v>10</v>
      </c>
      <c r="AF19" s="18" t="s">
        <v>9</v>
      </c>
      <c r="AG19" s="18" t="s">
        <v>9</v>
      </c>
      <c r="AH19" s="18" t="s">
        <v>9</v>
      </c>
      <c r="AI19" s="18" t="s">
        <v>9</v>
      </c>
      <c r="AJ19" s="18" t="s">
        <v>9</v>
      </c>
      <c r="AK19" s="18" t="s">
        <v>9</v>
      </c>
      <c r="AL19" s="18" t="s">
        <v>9</v>
      </c>
      <c r="AM19" s="18" t="s">
        <v>9</v>
      </c>
      <c r="AN19" s="18" t="s">
        <v>9</v>
      </c>
      <c r="AO19" s="18" t="s">
        <v>9</v>
      </c>
      <c r="AP19" s="18" t="s">
        <v>9</v>
      </c>
      <c r="AQ19" s="18" t="s">
        <v>9</v>
      </c>
      <c r="AR19" s="18" t="s">
        <v>9</v>
      </c>
      <c r="AS19" s="18" t="s">
        <v>9</v>
      </c>
      <c r="AT19" s="18" t="s">
        <v>9</v>
      </c>
      <c r="AU19" s="18" t="s">
        <v>9</v>
      </c>
      <c r="AV19" s="18" t="s">
        <v>9</v>
      </c>
      <c r="AW19" s="18" t="s">
        <v>9</v>
      </c>
      <c r="AX19" s="18" t="s">
        <v>56</v>
      </c>
      <c r="AY19" s="18" t="s">
        <v>56</v>
      </c>
      <c r="AZ19" s="18" t="s">
        <v>56</v>
      </c>
      <c r="BA19" s="18" t="s">
        <v>56</v>
      </c>
      <c r="BB19" s="18" t="s">
        <v>9</v>
      </c>
      <c r="BC19" s="18" t="s">
        <v>11</v>
      </c>
      <c r="BD19" s="18" t="s">
        <v>9</v>
      </c>
      <c r="BE19" s="18" t="s">
        <v>9</v>
      </c>
      <c r="BF19" s="18" t="s">
        <v>9</v>
      </c>
      <c r="BG19" s="18" t="s">
        <v>10</v>
      </c>
      <c r="BH19" s="18" t="s">
        <v>9</v>
      </c>
      <c r="BI19" s="18" t="s">
        <v>9</v>
      </c>
      <c r="BJ19" s="18" t="s">
        <v>9</v>
      </c>
      <c r="BK19" s="18" t="s">
        <v>11</v>
      </c>
      <c r="BL19" s="18" t="s">
        <v>9</v>
      </c>
      <c r="BM19" s="18" t="s">
        <v>9</v>
      </c>
      <c r="BN19" s="18" t="s">
        <v>9</v>
      </c>
      <c r="BO19" s="18" t="s">
        <v>56</v>
      </c>
      <c r="BP19" s="18" t="s">
        <v>10</v>
      </c>
      <c r="BQ19" s="18" t="s">
        <v>10</v>
      </c>
      <c r="BR19" s="18" t="s">
        <v>9</v>
      </c>
      <c r="BS19" s="18" t="s">
        <v>10</v>
      </c>
      <c r="BT19" s="18" t="s">
        <v>10</v>
      </c>
      <c r="BU19" s="18" t="s">
        <v>10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</row>
    <row r="20" customFormat="false" ht="15.75" hidden="false" customHeight="true" outlineLevel="0" collapsed="false">
      <c r="A20" s="17" t="n">
        <v>11</v>
      </c>
      <c r="B20" s="19" t="n">
        <v>26302</v>
      </c>
      <c r="C20" s="19" t="s">
        <v>119</v>
      </c>
      <c r="D20" s="17" t="n">
        <f aca="false">COUNTIF($G20:$BU20,D$9)</f>
        <v>32</v>
      </c>
      <c r="E20" s="17" t="n">
        <f aca="false">COUNTIF($G20:$BU20,E$9)</f>
        <v>3</v>
      </c>
      <c r="F20" s="17" t="n">
        <f aca="false">COUNTIF($G20:$BU20,F$9)</f>
        <v>3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9</v>
      </c>
      <c r="AF20" s="18" t="s">
        <v>9</v>
      </c>
      <c r="AG20" s="18" t="s">
        <v>9</v>
      </c>
      <c r="AH20" s="18" t="s">
        <v>9</v>
      </c>
      <c r="AI20" s="18" t="s">
        <v>9</v>
      </c>
      <c r="AJ20" s="18" t="s">
        <v>9</v>
      </c>
      <c r="AK20" s="18" t="s">
        <v>9</v>
      </c>
      <c r="AL20" s="18" t="s">
        <v>9</v>
      </c>
      <c r="AM20" s="18" t="s">
        <v>9</v>
      </c>
      <c r="AN20" s="18" t="s">
        <v>9</v>
      </c>
      <c r="AO20" s="18" t="s">
        <v>9</v>
      </c>
      <c r="AP20" s="18" t="s">
        <v>9</v>
      </c>
      <c r="AQ20" s="18" t="s">
        <v>9</v>
      </c>
      <c r="AR20" s="18" t="s">
        <v>9</v>
      </c>
      <c r="AS20" s="18" t="s">
        <v>9</v>
      </c>
      <c r="AT20" s="18" t="s">
        <v>9</v>
      </c>
      <c r="AU20" s="18" t="s">
        <v>9</v>
      </c>
      <c r="AV20" s="18" t="s">
        <v>9</v>
      </c>
      <c r="AW20" s="18" t="s">
        <v>9</v>
      </c>
      <c r="AX20" s="18" t="s">
        <v>56</v>
      </c>
      <c r="AY20" s="18" t="s">
        <v>56</v>
      </c>
      <c r="AZ20" s="18" t="s">
        <v>56</v>
      </c>
      <c r="BA20" s="18" t="s">
        <v>56</v>
      </c>
      <c r="BB20" s="18" t="s">
        <v>9</v>
      </c>
      <c r="BC20" s="18" t="s">
        <v>9</v>
      </c>
      <c r="BD20" s="18" t="s">
        <v>9</v>
      </c>
      <c r="BE20" s="18" t="s">
        <v>9</v>
      </c>
      <c r="BF20" s="18" t="s">
        <v>9</v>
      </c>
      <c r="BG20" s="18" t="s">
        <v>10</v>
      </c>
      <c r="BH20" s="18" t="s">
        <v>9</v>
      </c>
      <c r="BI20" s="18" t="s">
        <v>11</v>
      </c>
      <c r="BJ20" s="18" t="s">
        <v>9</v>
      </c>
      <c r="BK20" s="18" t="s">
        <v>11</v>
      </c>
      <c r="BL20" s="18" t="s">
        <v>10</v>
      </c>
      <c r="BM20" s="18" t="s">
        <v>9</v>
      </c>
      <c r="BN20" s="18" t="s">
        <v>9</v>
      </c>
      <c r="BO20" s="18" t="s">
        <v>56</v>
      </c>
      <c r="BP20" s="18" t="s">
        <v>10</v>
      </c>
      <c r="BQ20" s="18" t="s">
        <v>9</v>
      </c>
      <c r="BR20" s="18" t="s">
        <v>9</v>
      </c>
      <c r="BS20" s="18" t="s">
        <v>9</v>
      </c>
      <c r="BT20" s="18" t="s">
        <v>11</v>
      </c>
      <c r="BU20" s="18" t="s">
        <v>9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</row>
    <row r="21" customFormat="false" ht="15.75" hidden="false" customHeight="true" outlineLevel="0" collapsed="false">
      <c r="A21" s="17" t="n">
        <v>12</v>
      </c>
      <c r="B21" s="19" t="n">
        <v>25227</v>
      </c>
      <c r="C21" s="19" t="s">
        <v>120</v>
      </c>
      <c r="D21" s="17" t="n">
        <f aca="false">COUNTIF($G21:$BU21,D$9)</f>
        <v>27</v>
      </c>
      <c r="E21" s="17" t="n">
        <f aca="false">COUNTIF($G21:$BU21,E$9)</f>
        <v>9</v>
      </c>
      <c r="F21" s="17" t="n">
        <f aca="false">COUNTIF($G21:$BU21,F$9)</f>
        <v>2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 t="s">
        <v>9</v>
      </c>
      <c r="AF21" s="18" t="s">
        <v>9</v>
      </c>
      <c r="AG21" s="18" t="s">
        <v>11</v>
      </c>
      <c r="AH21" s="18" t="s">
        <v>10</v>
      </c>
      <c r="AI21" s="18" t="s">
        <v>9</v>
      </c>
      <c r="AJ21" s="18" t="s">
        <v>9</v>
      </c>
      <c r="AK21" s="18" t="s">
        <v>10</v>
      </c>
      <c r="AL21" s="18" t="s">
        <v>11</v>
      </c>
      <c r="AM21" s="18" t="s">
        <v>9</v>
      </c>
      <c r="AN21" s="18" t="s">
        <v>9</v>
      </c>
      <c r="AO21" s="18" t="s">
        <v>9</v>
      </c>
      <c r="AP21" s="18" t="s">
        <v>9</v>
      </c>
      <c r="AQ21" s="18" t="s">
        <v>9</v>
      </c>
      <c r="AR21" s="18" t="s">
        <v>10</v>
      </c>
      <c r="AS21" s="18" t="s">
        <v>10</v>
      </c>
      <c r="AT21" s="18" t="s">
        <v>9</v>
      </c>
      <c r="AU21" s="18" t="s">
        <v>9</v>
      </c>
      <c r="AV21" s="18" t="s">
        <v>9</v>
      </c>
      <c r="AW21" s="18" t="s">
        <v>9</v>
      </c>
      <c r="AX21" s="18" t="s">
        <v>56</v>
      </c>
      <c r="AY21" s="18" t="s">
        <v>56</v>
      </c>
      <c r="AZ21" s="18" t="s">
        <v>56</v>
      </c>
      <c r="BA21" s="18" t="s">
        <v>56</v>
      </c>
      <c r="BB21" s="18" t="s">
        <v>10</v>
      </c>
      <c r="BC21" s="18" t="s">
        <v>9</v>
      </c>
      <c r="BD21" s="18" t="s">
        <v>9</v>
      </c>
      <c r="BE21" s="18" t="s">
        <v>9</v>
      </c>
      <c r="BF21" s="18" t="s">
        <v>9</v>
      </c>
      <c r="BG21" s="18" t="s">
        <v>10</v>
      </c>
      <c r="BH21" s="18" t="s">
        <v>10</v>
      </c>
      <c r="BI21" s="18" t="s">
        <v>9</v>
      </c>
      <c r="BJ21" s="18" t="s">
        <v>9</v>
      </c>
      <c r="BK21" s="18" t="s">
        <v>9</v>
      </c>
      <c r="BL21" s="18" t="s">
        <v>9</v>
      </c>
      <c r="BM21" s="18" t="s">
        <v>9</v>
      </c>
      <c r="BN21" s="18" t="s">
        <v>9</v>
      </c>
      <c r="BO21" s="18" t="s">
        <v>56</v>
      </c>
      <c r="BP21" s="18" t="s">
        <v>9</v>
      </c>
      <c r="BQ21" s="18" t="s">
        <v>9</v>
      </c>
      <c r="BR21" s="18" t="s">
        <v>9</v>
      </c>
      <c r="BS21" s="18" t="s">
        <v>10</v>
      </c>
      <c r="BT21" s="18" t="s">
        <v>10</v>
      </c>
      <c r="BU21" s="18" t="s">
        <v>9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</row>
    <row r="22" customFormat="false" ht="15.75" hidden="false" customHeight="true" outlineLevel="0" collapsed="false">
      <c r="A22" s="17" t="n">
        <v>13</v>
      </c>
      <c r="B22" s="19" t="n">
        <v>25222</v>
      </c>
      <c r="C22" s="19" t="s">
        <v>121</v>
      </c>
      <c r="D22" s="17" t="n">
        <f aca="false">COUNTIF($G22:$BU22,D$9)</f>
        <v>10</v>
      </c>
      <c r="E22" s="17" t="n">
        <f aca="false">COUNTIF($G22:$BU22,E$9)</f>
        <v>21</v>
      </c>
      <c r="F22" s="17" t="n">
        <f aca="false">COUNTIF($G22:$BU22,F$9)</f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 t="s">
        <v>10</v>
      </c>
      <c r="AM22" s="18" t="s">
        <v>9</v>
      </c>
      <c r="AN22" s="18" t="s">
        <v>9</v>
      </c>
      <c r="AO22" s="18" t="s">
        <v>9</v>
      </c>
      <c r="AP22" s="18" t="s">
        <v>9</v>
      </c>
      <c r="AQ22" s="18" t="s">
        <v>10</v>
      </c>
      <c r="AR22" s="18" t="s">
        <v>9</v>
      </c>
      <c r="AS22" s="18" t="s">
        <v>9</v>
      </c>
      <c r="AT22" s="18" t="s">
        <v>9</v>
      </c>
      <c r="AU22" s="18" t="s">
        <v>9</v>
      </c>
      <c r="AV22" s="18" t="s">
        <v>9</v>
      </c>
      <c r="AW22" s="18" t="s">
        <v>10</v>
      </c>
      <c r="AX22" s="18" t="s">
        <v>56</v>
      </c>
      <c r="AY22" s="18" t="s">
        <v>56</v>
      </c>
      <c r="AZ22" s="18" t="s">
        <v>56</v>
      </c>
      <c r="BA22" s="18" t="s">
        <v>56</v>
      </c>
      <c r="BB22" s="18" t="s">
        <v>10</v>
      </c>
      <c r="BC22" s="18" t="s">
        <v>10</v>
      </c>
      <c r="BD22" s="18" t="s">
        <v>9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56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</row>
    <row r="23" customFormat="false" ht="15.75" hidden="false" customHeight="true" outlineLevel="0" collapsed="false">
      <c r="A23" s="17" t="n">
        <v>14</v>
      </c>
      <c r="B23" s="19" t="n">
        <v>26279</v>
      </c>
      <c r="C23" s="19" t="s">
        <v>27</v>
      </c>
      <c r="D23" s="17" t="n">
        <f aca="false">COUNTIF($G23:$BU23,D$9)</f>
        <v>21</v>
      </c>
      <c r="E23" s="17" t="n">
        <f aca="false">COUNTIF($G23:$BU23,E$9)</f>
        <v>10</v>
      </c>
      <c r="F23" s="17" t="n">
        <f aca="false">COUNTIF($G23:$BU23,F$9)</f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 t="s">
        <v>9</v>
      </c>
      <c r="AM23" s="18" t="s">
        <v>9</v>
      </c>
      <c r="AN23" s="18" t="s">
        <v>9</v>
      </c>
      <c r="AO23" s="18" t="s">
        <v>9</v>
      </c>
      <c r="AP23" s="18" t="s">
        <v>9</v>
      </c>
      <c r="AQ23" s="18" t="s">
        <v>9</v>
      </c>
      <c r="AR23" s="18" t="s">
        <v>9</v>
      </c>
      <c r="AS23" s="18" t="s">
        <v>9</v>
      </c>
      <c r="AT23" s="18" t="s">
        <v>9</v>
      </c>
      <c r="AU23" s="18" t="s">
        <v>9</v>
      </c>
      <c r="AV23" s="18" t="s">
        <v>9</v>
      </c>
      <c r="AW23" s="18" t="s">
        <v>10</v>
      </c>
      <c r="AX23" s="18" t="s">
        <v>56</v>
      </c>
      <c r="AY23" s="18" t="s">
        <v>56</v>
      </c>
      <c r="AZ23" s="18" t="s">
        <v>56</v>
      </c>
      <c r="BA23" s="18" t="s">
        <v>56</v>
      </c>
      <c r="BB23" s="18" t="s">
        <v>9</v>
      </c>
      <c r="BC23" s="18" t="s">
        <v>9</v>
      </c>
      <c r="BD23" s="18" t="s">
        <v>9</v>
      </c>
      <c r="BE23" s="18" t="s">
        <v>9</v>
      </c>
      <c r="BF23" s="18" t="s">
        <v>9</v>
      </c>
      <c r="BG23" s="18" t="s">
        <v>10</v>
      </c>
      <c r="BH23" s="18" t="s">
        <v>9</v>
      </c>
      <c r="BI23" s="18" t="s">
        <v>10</v>
      </c>
      <c r="BJ23" s="18" t="s">
        <v>9</v>
      </c>
      <c r="BK23" s="18" t="s">
        <v>9</v>
      </c>
      <c r="BL23" s="18" t="s">
        <v>10</v>
      </c>
      <c r="BM23" s="18" t="s">
        <v>9</v>
      </c>
      <c r="BN23" s="18" t="s">
        <v>9</v>
      </c>
      <c r="BO23" s="18" t="s">
        <v>56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</row>
    <row r="24" customFormat="false" ht="15.75" hidden="false" customHeight="true" outlineLevel="0" collapsed="false">
      <c r="A24" s="17" t="n">
        <v>15</v>
      </c>
      <c r="B24" s="19" t="n">
        <v>25234</v>
      </c>
      <c r="C24" s="19" t="s">
        <v>122</v>
      </c>
      <c r="D24" s="17" t="n">
        <f aca="false">COUNTIF($G24:$BU24,D$9)</f>
        <v>24</v>
      </c>
      <c r="E24" s="17" t="n">
        <f aca="false">COUNTIF($G24:$BU24,E$9)</f>
        <v>9</v>
      </c>
      <c r="F24" s="17" t="n">
        <f aca="false">COUNTIF($G24:$BU24,F$9)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9</v>
      </c>
      <c r="AK24" s="18" t="s">
        <v>9</v>
      </c>
      <c r="AL24" s="18" t="s">
        <v>9</v>
      </c>
      <c r="AM24" s="18" t="s">
        <v>9</v>
      </c>
      <c r="AN24" s="18" t="s">
        <v>9</v>
      </c>
      <c r="AO24" s="18" t="s">
        <v>9</v>
      </c>
      <c r="AP24" s="18" t="s">
        <v>9</v>
      </c>
      <c r="AQ24" s="18" t="s">
        <v>9</v>
      </c>
      <c r="AR24" s="18" t="s">
        <v>9</v>
      </c>
      <c r="AS24" s="18" t="s">
        <v>9</v>
      </c>
      <c r="AT24" s="18" t="s">
        <v>9</v>
      </c>
      <c r="AU24" s="18" t="s">
        <v>9</v>
      </c>
      <c r="AV24" s="18" t="s">
        <v>9</v>
      </c>
      <c r="AW24" s="18" t="s">
        <v>9</v>
      </c>
      <c r="AX24" s="18" t="s">
        <v>56</v>
      </c>
      <c r="AY24" s="18" t="s">
        <v>56</v>
      </c>
      <c r="AZ24" s="18" t="s">
        <v>56</v>
      </c>
      <c r="BA24" s="18" t="s">
        <v>56</v>
      </c>
      <c r="BB24" s="18" t="s">
        <v>9</v>
      </c>
      <c r="BC24" s="18" t="s">
        <v>9</v>
      </c>
      <c r="BD24" s="18" t="s">
        <v>9</v>
      </c>
      <c r="BE24" s="18" t="s">
        <v>9</v>
      </c>
      <c r="BF24" s="18" t="s">
        <v>9</v>
      </c>
      <c r="BG24" s="18" t="s">
        <v>10</v>
      </c>
      <c r="BH24" s="18" t="s">
        <v>9</v>
      </c>
      <c r="BI24" s="18" t="s">
        <v>9</v>
      </c>
      <c r="BJ24" s="18" t="s">
        <v>9</v>
      </c>
      <c r="BK24" s="18" t="s">
        <v>10</v>
      </c>
      <c r="BL24" s="18" t="s">
        <v>9</v>
      </c>
      <c r="BM24" s="18" t="s">
        <v>9</v>
      </c>
      <c r="BN24" s="18" t="s">
        <v>10</v>
      </c>
      <c r="BO24" s="18" t="s">
        <v>56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</row>
    <row r="25" customFormat="false" ht="15.75" hidden="false" customHeight="true" outlineLevel="0" collapsed="false">
      <c r="A25" s="17" t="n">
        <v>16</v>
      </c>
      <c r="B25" s="19" t="n">
        <v>26311</v>
      </c>
      <c r="C25" s="19" t="s">
        <v>123</v>
      </c>
      <c r="D25" s="17" t="n">
        <f aca="false">COUNTIF($G25:$BU25,D$9)</f>
        <v>15</v>
      </c>
      <c r="E25" s="17" t="n">
        <f aca="false">COUNTIF($G25:$BU25,E$9)</f>
        <v>3</v>
      </c>
      <c r="F25" s="17" t="n">
        <f aca="false">COUNTIF($G25:$BU25,F$9)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 t="s">
        <v>9</v>
      </c>
      <c r="BD25" s="18" t="s">
        <v>9</v>
      </c>
      <c r="BE25" s="18" t="s">
        <v>9</v>
      </c>
      <c r="BF25" s="18" t="s">
        <v>9</v>
      </c>
      <c r="BG25" s="18" t="s">
        <v>9</v>
      </c>
      <c r="BH25" s="18" t="s">
        <v>9</v>
      </c>
      <c r="BI25" s="18" t="s">
        <v>9</v>
      </c>
      <c r="BJ25" s="18" t="s">
        <v>9</v>
      </c>
      <c r="BK25" s="18" t="s">
        <v>9</v>
      </c>
      <c r="BL25" s="18" t="s">
        <v>9</v>
      </c>
      <c r="BM25" s="18" t="s">
        <v>9</v>
      </c>
      <c r="BN25" s="18" t="s">
        <v>9</v>
      </c>
      <c r="BO25" s="18" t="s">
        <v>56</v>
      </c>
      <c r="BP25" s="18" t="s">
        <v>10</v>
      </c>
      <c r="BQ25" s="18" t="s">
        <v>9</v>
      </c>
      <c r="BR25" s="18" t="s">
        <v>9</v>
      </c>
      <c r="BS25" s="18" t="s">
        <v>10</v>
      </c>
      <c r="BT25" s="18" t="s">
        <v>9</v>
      </c>
      <c r="BU25" s="18" t="s">
        <v>10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10:BU25" type="list">
      <formula1>"P,A,E,Offday,BATCH CHANGED"</formula1>
      <formula2>0</formula2>
    </dataValidation>
    <dataValidation allowBlank="true" errorStyle="stop" operator="between" showDropDown="false" showErrorMessage="true" showInputMessage="false" sqref="G7:BU7" type="list">
      <formula1>"SHAKIL MAHMUD,JIHAD,NAZRUL ISLAN"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1.38"/>
    <col collapsed="false" customWidth="true" hidden="false" outlineLevel="0" max="3" min="3" style="0" width="23.5"/>
    <col collapsed="false" customWidth="true" hidden="false" outlineLevel="0" max="6" min="4" style="0" width="6.38"/>
    <col collapsed="false" customWidth="true" hidden="false" outlineLevel="0" max="97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G2" s="3" t="s">
        <v>124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46124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46276</v>
      </c>
      <c r="J6" s="8" t="s">
        <v>4</v>
      </c>
      <c r="K6" s="8"/>
      <c r="L6" s="8"/>
      <c r="M6" s="8"/>
      <c r="N6" s="8"/>
      <c r="O6" s="8"/>
      <c r="P6" s="8"/>
      <c r="Q6" s="8"/>
      <c r="AQ6" s="38" t="s">
        <v>88</v>
      </c>
      <c r="AT6" s="38" t="s">
        <v>89</v>
      </c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31</v>
      </c>
      <c r="H7" s="9" t="s">
        <v>31</v>
      </c>
      <c r="I7" s="9" t="s">
        <v>31</v>
      </c>
      <c r="J7" s="9" t="s">
        <v>31</v>
      </c>
      <c r="K7" s="9" t="s">
        <v>31</v>
      </c>
      <c r="L7" s="9" t="s">
        <v>31</v>
      </c>
      <c r="M7" s="9" t="s">
        <v>5</v>
      </c>
      <c r="N7" s="9" t="s">
        <v>72</v>
      </c>
      <c r="O7" s="9" t="s">
        <v>72</v>
      </c>
      <c r="P7" s="9" t="s">
        <v>72</v>
      </c>
      <c r="Q7" s="9" t="s">
        <v>72</v>
      </c>
      <c r="R7" s="9" t="s">
        <v>72</v>
      </c>
      <c r="S7" s="9" t="s">
        <v>72</v>
      </c>
      <c r="T7" s="9" t="s">
        <v>72</v>
      </c>
      <c r="U7" s="9" t="s">
        <v>72</v>
      </c>
      <c r="V7" s="9" t="s">
        <v>72</v>
      </c>
      <c r="W7" s="9" t="s">
        <v>72</v>
      </c>
      <c r="X7" s="9" t="s">
        <v>72</v>
      </c>
      <c r="Y7" s="9" t="s">
        <v>72</v>
      </c>
      <c r="Z7" s="9" t="s">
        <v>72</v>
      </c>
      <c r="AA7" s="9" t="s">
        <v>72</v>
      </c>
      <c r="AB7" s="9" t="s">
        <v>72</v>
      </c>
      <c r="AC7" s="9" t="s">
        <v>72</v>
      </c>
      <c r="AD7" s="9" t="s">
        <v>72</v>
      </c>
      <c r="AE7" s="9" t="s">
        <v>72</v>
      </c>
      <c r="AF7" s="9" t="s">
        <v>72</v>
      </c>
      <c r="AG7" s="9" t="s">
        <v>15</v>
      </c>
      <c r="AH7" s="9" t="s">
        <v>72</v>
      </c>
      <c r="AI7" s="9" t="s">
        <v>72</v>
      </c>
      <c r="AJ7" s="9" t="s">
        <v>72</v>
      </c>
      <c r="AK7" s="9" t="s">
        <v>72</v>
      </c>
      <c r="AL7" s="9" t="s">
        <v>72</v>
      </c>
      <c r="AM7" s="9" t="s">
        <v>72</v>
      </c>
      <c r="AN7" s="9" t="s">
        <v>72</v>
      </c>
      <c r="AO7" s="9" t="s">
        <v>72</v>
      </c>
      <c r="AP7" s="9" t="s">
        <v>72</v>
      </c>
      <c r="AQ7" s="9" t="s">
        <v>72</v>
      </c>
      <c r="AR7" s="9" t="s">
        <v>72</v>
      </c>
      <c r="AS7" s="9" t="s">
        <v>5</v>
      </c>
      <c r="AT7" s="9" t="s">
        <v>5</v>
      </c>
      <c r="AU7" s="9" t="s">
        <v>72</v>
      </c>
      <c r="AV7" s="9" t="s">
        <v>72</v>
      </c>
      <c r="AW7" s="9" t="s">
        <v>72</v>
      </c>
      <c r="AX7" s="9" t="s">
        <v>72</v>
      </c>
      <c r="AY7" s="9" t="s">
        <v>72</v>
      </c>
      <c r="AZ7" s="9" t="s">
        <v>72</v>
      </c>
      <c r="BA7" s="9" t="s">
        <v>72</v>
      </c>
      <c r="BB7" s="9" t="s">
        <v>72</v>
      </c>
      <c r="BC7" s="9" t="s">
        <v>72</v>
      </c>
      <c r="BD7" s="9" t="s">
        <v>125</v>
      </c>
      <c r="BE7" s="9" t="s">
        <v>125</v>
      </c>
      <c r="BF7" s="9" t="s">
        <v>125</v>
      </c>
      <c r="BG7" s="9" t="s">
        <v>125</v>
      </c>
      <c r="BH7" s="9" t="s">
        <v>125</v>
      </c>
      <c r="BI7" s="9" t="s">
        <v>125</v>
      </c>
      <c r="BJ7" s="9" t="s">
        <v>125</v>
      </c>
      <c r="BK7" s="9" t="s">
        <v>125</v>
      </c>
      <c r="BL7" s="9" t="s">
        <v>125</v>
      </c>
      <c r="BM7" s="9" t="s">
        <v>125</v>
      </c>
      <c r="BN7" s="9" t="s">
        <v>125</v>
      </c>
      <c r="BO7" s="9"/>
      <c r="BP7" s="9" t="s">
        <v>125</v>
      </c>
      <c r="BQ7" s="9" t="s">
        <v>5</v>
      </c>
      <c r="BR7" s="9" t="s">
        <v>5</v>
      </c>
      <c r="BS7" s="9" t="s">
        <v>5</v>
      </c>
      <c r="BT7" s="9" t="s">
        <v>125</v>
      </c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  <c r="BO8" s="49" t="str">
        <f aca="false">TEXT(BO9,"DDD")</f>
        <v>Sun</v>
      </c>
      <c r="BP8" s="49" t="str">
        <f aca="false">TEXT(BP9,"DDD")</f>
        <v>Tue</v>
      </c>
      <c r="BQ8" s="49" t="str">
        <f aca="false">TEXT(BQ9,"DDD")</f>
        <v>Thu</v>
      </c>
      <c r="BR8" s="49" t="str">
        <f aca="false">TEXT(BR9,"DDD")</f>
        <v>Sun</v>
      </c>
      <c r="BS8" s="49" t="str">
        <f aca="false">TEXT(BS9,"DDD")</f>
        <v>Tue</v>
      </c>
      <c r="BT8" s="49" t="str">
        <f aca="false">TEXT(BT9,"DDD")</f>
        <v>Thu</v>
      </c>
      <c r="BU8" s="49" t="str">
        <f aca="false">TEXT(BU9,"DDD")</f>
        <v>Sun</v>
      </c>
      <c r="BV8" s="49" t="str">
        <f aca="false">TEXT(BV9,"DDD")</f>
        <v>Tue</v>
      </c>
      <c r="BW8" s="49" t="str">
        <f aca="false">TEXT(BW9,"DDD")</f>
        <v>Thu</v>
      </c>
      <c r="BX8" s="49" t="str">
        <f aca="false">TEXT(BX9,"DDD")</f>
        <v>Sun</v>
      </c>
      <c r="BY8" s="49" t="str">
        <f aca="false">TEXT(BY9,"DDD")</f>
        <v>Tue</v>
      </c>
    </row>
    <row r="9" customFormat="false" ht="15.75" hidden="false" customHeight="true" outlineLevel="0" collapsed="false">
      <c r="A9" s="11" t="s">
        <v>6</v>
      </c>
      <c r="B9" s="40" t="s">
        <v>7</v>
      </c>
      <c r="C9" s="40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46124</v>
      </c>
      <c r="H9" s="15" t="n">
        <f aca="false">G9+2</f>
        <v>46126</v>
      </c>
      <c r="I9" s="15" t="n">
        <f aca="false">H9+2</f>
        <v>46128</v>
      </c>
      <c r="J9" s="15" t="n">
        <f aca="false">I9+3</f>
        <v>46131</v>
      </c>
      <c r="K9" s="15" t="n">
        <f aca="false">J9+2</f>
        <v>46133</v>
      </c>
      <c r="L9" s="15" t="n">
        <f aca="false">K9+2</f>
        <v>46135</v>
      </c>
      <c r="M9" s="15" t="n">
        <f aca="false">L9+3</f>
        <v>46138</v>
      </c>
      <c r="N9" s="15" t="n">
        <f aca="false">M9+2</f>
        <v>46140</v>
      </c>
      <c r="O9" s="15" t="n">
        <f aca="false">N9+2</f>
        <v>46142</v>
      </c>
      <c r="P9" s="15" t="n">
        <f aca="false">O9+3</f>
        <v>46145</v>
      </c>
      <c r="Q9" s="15" t="n">
        <f aca="false">P9+2</f>
        <v>46147</v>
      </c>
      <c r="R9" s="15" t="n">
        <f aca="false">Q9+2</f>
        <v>46149</v>
      </c>
      <c r="S9" s="15" t="n">
        <f aca="false">R9+3</f>
        <v>46152</v>
      </c>
      <c r="T9" s="15" t="n">
        <f aca="false">S9+2</f>
        <v>46154</v>
      </c>
      <c r="U9" s="15" t="n">
        <f aca="false">T9+2</f>
        <v>46156</v>
      </c>
      <c r="V9" s="15" t="n">
        <f aca="false">U9+3</f>
        <v>46159</v>
      </c>
      <c r="W9" s="15" t="n">
        <f aca="false">V9+2</f>
        <v>46161</v>
      </c>
      <c r="X9" s="15" t="n">
        <f aca="false">W9+2</f>
        <v>46163</v>
      </c>
      <c r="Y9" s="15" t="n">
        <f aca="false">X9+3</f>
        <v>46166</v>
      </c>
      <c r="Z9" s="15" t="n">
        <f aca="false">Y9+2</f>
        <v>46168</v>
      </c>
      <c r="AA9" s="15" t="n">
        <f aca="false">Z9+2</f>
        <v>46170</v>
      </c>
      <c r="AB9" s="15" t="n">
        <f aca="false">AA9+3</f>
        <v>46173</v>
      </c>
      <c r="AC9" s="15" t="n">
        <f aca="false">AB9+2</f>
        <v>46175</v>
      </c>
      <c r="AD9" s="15" t="n">
        <f aca="false">AC9+2</f>
        <v>46177</v>
      </c>
      <c r="AE9" s="15" t="n">
        <f aca="false">AD9+3</f>
        <v>46180</v>
      </c>
      <c r="AF9" s="15" t="n">
        <f aca="false">AE9+2</f>
        <v>46182</v>
      </c>
      <c r="AG9" s="15" t="n">
        <f aca="false">AF9+2</f>
        <v>46184</v>
      </c>
      <c r="AH9" s="15" t="n">
        <f aca="false">AG9+3</f>
        <v>46187</v>
      </c>
      <c r="AI9" s="15" t="n">
        <f aca="false">AH9+2</f>
        <v>46189</v>
      </c>
      <c r="AJ9" s="15" t="n">
        <f aca="false">AI9+2</f>
        <v>46191</v>
      </c>
      <c r="AK9" s="15" t="n">
        <f aca="false">AJ9+3</f>
        <v>46194</v>
      </c>
      <c r="AL9" s="15" t="n">
        <f aca="false">AK9+2</f>
        <v>46196</v>
      </c>
      <c r="AM9" s="15" t="n">
        <f aca="false">AL9+2</f>
        <v>46198</v>
      </c>
      <c r="AN9" s="15" t="n">
        <f aca="false">AM9+3</f>
        <v>46201</v>
      </c>
      <c r="AO9" s="15" t="n">
        <f aca="false">AN9+2</f>
        <v>46203</v>
      </c>
      <c r="AP9" s="15" t="n">
        <f aca="false">AO9+2</f>
        <v>46205</v>
      </c>
      <c r="AQ9" s="15" t="n">
        <f aca="false">AP9+3</f>
        <v>46208</v>
      </c>
      <c r="AR9" s="15" t="n">
        <f aca="false">AQ9+2</f>
        <v>46210</v>
      </c>
      <c r="AS9" s="15" t="n">
        <f aca="false">AR9+2</f>
        <v>46212</v>
      </c>
      <c r="AT9" s="15" t="n">
        <f aca="false">AS9+3</f>
        <v>46215</v>
      </c>
      <c r="AU9" s="15" t="n">
        <f aca="false">AT9+2</f>
        <v>46217</v>
      </c>
      <c r="AV9" s="15" t="n">
        <f aca="false">AU9+2</f>
        <v>46219</v>
      </c>
      <c r="AW9" s="15" t="n">
        <f aca="false">AV9+3</f>
        <v>46222</v>
      </c>
      <c r="AX9" s="15" t="n">
        <f aca="false">AW9+2</f>
        <v>46224</v>
      </c>
      <c r="AY9" s="15" t="n">
        <f aca="false">AX9+2</f>
        <v>46226</v>
      </c>
      <c r="AZ9" s="15" t="n">
        <f aca="false">AY9+3</f>
        <v>46229</v>
      </c>
      <c r="BA9" s="15" t="n">
        <f aca="false">AZ9+2</f>
        <v>46231</v>
      </c>
      <c r="BB9" s="15" t="n">
        <f aca="false">BA9+2</f>
        <v>46233</v>
      </c>
      <c r="BC9" s="15" t="n">
        <f aca="false">BB9+3</f>
        <v>46236</v>
      </c>
      <c r="BD9" s="15" t="n">
        <f aca="false">BC9+2</f>
        <v>46238</v>
      </c>
      <c r="BE9" s="15" t="n">
        <f aca="false">BD9+2</f>
        <v>46240</v>
      </c>
      <c r="BF9" s="15" t="n">
        <f aca="false">BE9+3</f>
        <v>46243</v>
      </c>
      <c r="BG9" s="15" t="n">
        <f aca="false">BF9+2</f>
        <v>46245</v>
      </c>
      <c r="BH9" s="15" t="n">
        <f aca="false">BG9+2</f>
        <v>46247</v>
      </c>
      <c r="BI9" s="15" t="n">
        <f aca="false">BH9+3</f>
        <v>46250</v>
      </c>
      <c r="BJ9" s="15" t="n">
        <f aca="false">BI9+2</f>
        <v>46252</v>
      </c>
      <c r="BK9" s="15" t="n">
        <f aca="false">BJ9+2</f>
        <v>46254</v>
      </c>
      <c r="BL9" s="15" t="n">
        <f aca="false">BK9+3</f>
        <v>46257</v>
      </c>
      <c r="BM9" s="15" t="n">
        <f aca="false">BL9+2</f>
        <v>46259</v>
      </c>
      <c r="BN9" s="15" t="n">
        <f aca="false">BM9+2</f>
        <v>46261</v>
      </c>
      <c r="BO9" s="15" t="n">
        <f aca="false">BN9+3</f>
        <v>46264</v>
      </c>
      <c r="BP9" s="15" t="n">
        <f aca="false">BO9+2</f>
        <v>46266</v>
      </c>
      <c r="BQ9" s="15" t="n">
        <f aca="false">BP9+2</f>
        <v>46268</v>
      </c>
      <c r="BR9" s="15" t="n">
        <f aca="false">BQ9+3</f>
        <v>46271</v>
      </c>
      <c r="BS9" s="15" t="n">
        <f aca="false">BR9+2</f>
        <v>46273</v>
      </c>
      <c r="BT9" s="15" t="n">
        <f aca="false">BS9+2</f>
        <v>46275</v>
      </c>
      <c r="BU9" s="15" t="n">
        <f aca="false">BT9+3</f>
        <v>46278</v>
      </c>
      <c r="BV9" s="15" t="n">
        <f aca="false">BU9+2</f>
        <v>46280</v>
      </c>
      <c r="BW9" s="15" t="n">
        <f aca="false">BV9+2</f>
        <v>46282</v>
      </c>
      <c r="BX9" s="15" t="n">
        <f aca="false">BW9+3</f>
        <v>46285</v>
      </c>
      <c r="BY9" s="15" t="n">
        <f aca="false">BX9+2</f>
        <v>46287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</row>
    <row r="10" customFormat="false" ht="15.75" hidden="false" customHeight="true" outlineLevel="0" collapsed="false">
      <c r="A10" s="41" t="n">
        <v>1</v>
      </c>
      <c r="B10" s="56" t="n">
        <v>26254</v>
      </c>
      <c r="C10" s="57" t="s">
        <v>126</v>
      </c>
      <c r="D10" s="52" t="n">
        <f aca="false">COUNTIF($G10:$BY10,D$9)</f>
        <v>34</v>
      </c>
      <c r="E10" s="17" t="n">
        <f aca="false">COUNTIF($G10:$BY10,E$9)</f>
        <v>26</v>
      </c>
      <c r="F10" s="17" t="n">
        <f aca="false">COUNTIF($G10:$BY10,F$9)</f>
        <v>1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9</v>
      </c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9</v>
      </c>
      <c r="R10" s="18" t="s">
        <v>9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9</v>
      </c>
      <c r="X10" s="18" t="s">
        <v>9</v>
      </c>
      <c r="Y10" s="18" t="s">
        <v>9</v>
      </c>
      <c r="Z10" s="18" t="s">
        <v>17</v>
      </c>
      <c r="AA10" s="18" t="s">
        <v>17</v>
      </c>
      <c r="AB10" s="18" t="s">
        <v>17</v>
      </c>
      <c r="AC10" s="18" t="s">
        <v>17</v>
      </c>
      <c r="AD10" s="18" t="s">
        <v>9</v>
      </c>
      <c r="AE10" s="18" t="s">
        <v>9</v>
      </c>
      <c r="AF10" s="18" t="s">
        <v>9</v>
      </c>
      <c r="AG10" s="18" t="s">
        <v>10</v>
      </c>
      <c r="AH10" s="18" t="s">
        <v>9</v>
      </c>
      <c r="AI10" s="18" t="s">
        <v>9</v>
      </c>
      <c r="AJ10" s="18" t="s">
        <v>9</v>
      </c>
      <c r="AK10" s="18" t="s">
        <v>9</v>
      </c>
      <c r="AL10" s="18" t="s">
        <v>9</v>
      </c>
      <c r="AM10" s="18" t="s">
        <v>9</v>
      </c>
      <c r="AN10" s="18" t="s">
        <v>9</v>
      </c>
      <c r="AO10" s="18" t="s">
        <v>9</v>
      </c>
      <c r="AP10" s="18" t="s">
        <v>9</v>
      </c>
      <c r="AQ10" s="18" t="s">
        <v>17</v>
      </c>
      <c r="AR10" s="18" t="s">
        <v>11</v>
      </c>
      <c r="AS10" s="18" t="s">
        <v>10</v>
      </c>
      <c r="AT10" s="18" t="s">
        <v>17</v>
      </c>
      <c r="AU10" s="18" t="s">
        <v>10</v>
      </c>
      <c r="AV10" s="18" t="s">
        <v>10</v>
      </c>
      <c r="AW10" s="18" t="s">
        <v>9</v>
      </c>
      <c r="AX10" s="18" t="s">
        <v>9</v>
      </c>
      <c r="AY10" s="18" t="s">
        <v>10</v>
      </c>
      <c r="AZ10" s="18" t="s">
        <v>9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/>
      <c r="BW10" s="18"/>
      <c r="BX10" s="18"/>
      <c r="BY10" s="18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</row>
    <row r="11" customFormat="false" ht="15.75" hidden="false" customHeight="true" outlineLevel="0" collapsed="false">
      <c r="A11" s="41" t="n">
        <v>2</v>
      </c>
      <c r="B11" s="58" t="n">
        <v>26255</v>
      </c>
      <c r="C11" s="59" t="s">
        <v>127</v>
      </c>
      <c r="D11" s="52" t="n">
        <f aca="false">COUNTIF($G11:$BY11,D$9)</f>
        <v>34</v>
      </c>
      <c r="E11" s="17" t="n">
        <f aca="false">COUNTIF($G11:$BY11,E$9)</f>
        <v>26</v>
      </c>
      <c r="F11" s="17" t="n">
        <f aca="false">COUNTIF($G11:$BY11,F$9)</f>
        <v>1</v>
      </c>
      <c r="G11" s="18" t="s">
        <v>9</v>
      </c>
      <c r="H11" s="18" t="s">
        <v>9</v>
      </c>
      <c r="I11" s="18" t="s">
        <v>9</v>
      </c>
      <c r="J11" s="18" t="s">
        <v>9</v>
      </c>
      <c r="K11" s="18" t="s">
        <v>9</v>
      </c>
      <c r="L11" s="18" t="s">
        <v>9</v>
      </c>
      <c r="M11" s="18" t="s">
        <v>9</v>
      </c>
      <c r="N11" s="18" t="s">
        <v>9</v>
      </c>
      <c r="O11" s="18" t="s">
        <v>9</v>
      </c>
      <c r="P11" s="18" t="s">
        <v>9</v>
      </c>
      <c r="Q11" s="18" t="s">
        <v>9</v>
      </c>
      <c r="R11" s="18" t="s">
        <v>9</v>
      </c>
      <c r="S11" s="18" t="s">
        <v>9</v>
      </c>
      <c r="T11" s="18" t="s">
        <v>9</v>
      </c>
      <c r="U11" s="18" t="s">
        <v>9</v>
      </c>
      <c r="V11" s="18" t="s">
        <v>9</v>
      </c>
      <c r="W11" s="18" t="s">
        <v>9</v>
      </c>
      <c r="X11" s="18" t="s">
        <v>9</v>
      </c>
      <c r="Y11" s="18" t="s">
        <v>9</v>
      </c>
      <c r="Z11" s="18" t="s">
        <v>17</v>
      </c>
      <c r="AA11" s="18" t="s">
        <v>17</v>
      </c>
      <c r="AB11" s="18" t="s">
        <v>17</v>
      </c>
      <c r="AC11" s="18" t="s">
        <v>17</v>
      </c>
      <c r="AD11" s="18" t="s">
        <v>9</v>
      </c>
      <c r="AE11" s="18" t="s">
        <v>9</v>
      </c>
      <c r="AF11" s="18" t="s">
        <v>9</v>
      </c>
      <c r="AG11" s="18" t="s">
        <v>9</v>
      </c>
      <c r="AH11" s="18" t="s">
        <v>9</v>
      </c>
      <c r="AI11" s="18" t="s">
        <v>9</v>
      </c>
      <c r="AJ11" s="18" t="s">
        <v>9</v>
      </c>
      <c r="AK11" s="18" t="s">
        <v>11</v>
      </c>
      <c r="AL11" s="18" t="s">
        <v>9</v>
      </c>
      <c r="AM11" s="18" t="s">
        <v>9</v>
      </c>
      <c r="AN11" s="18" t="s">
        <v>9</v>
      </c>
      <c r="AO11" s="18" t="s">
        <v>9</v>
      </c>
      <c r="AP11" s="18" t="s">
        <v>9</v>
      </c>
      <c r="AQ11" s="18" t="s">
        <v>17</v>
      </c>
      <c r="AR11" s="18" t="s">
        <v>10</v>
      </c>
      <c r="AS11" s="18" t="s">
        <v>9</v>
      </c>
      <c r="AT11" s="18" t="s">
        <v>17</v>
      </c>
      <c r="AU11" s="18" t="s">
        <v>9</v>
      </c>
      <c r="AV11" s="18" t="s">
        <v>10</v>
      </c>
      <c r="AW11" s="18" t="s">
        <v>9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/>
      <c r="BW11" s="18"/>
      <c r="BX11" s="18"/>
      <c r="BY11" s="18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</row>
    <row r="12" customFormat="false" ht="15.75" hidden="false" customHeight="true" outlineLevel="0" collapsed="false">
      <c r="A12" s="41" t="n">
        <v>3</v>
      </c>
      <c r="B12" s="58" t="n">
        <v>26256</v>
      </c>
      <c r="C12" s="59" t="s">
        <v>128</v>
      </c>
      <c r="D12" s="52" t="n">
        <f aca="false">COUNTIF($G12:$BY12,D$9)</f>
        <v>20</v>
      </c>
      <c r="E12" s="17" t="n">
        <f aca="false">COUNTIF($G12:$BY12,E$9)</f>
        <v>41</v>
      </c>
      <c r="F12" s="17" t="n">
        <f aca="false">COUNTIF($G12:$BY12,F$9)</f>
        <v>0</v>
      </c>
      <c r="G12" s="18" t="s">
        <v>9</v>
      </c>
      <c r="H12" s="18" t="s">
        <v>9</v>
      </c>
      <c r="I12" s="18" t="s">
        <v>9</v>
      </c>
      <c r="J12" s="18" t="s">
        <v>9</v>
      </c>
      <c r="K12" s="18" t="s">
        <v>9</v>
      </c>
      <c r="L12" s="18" t="s">
        <v>9</v>
      </c>
      <c r="M12" s="18" t="s">
        <v>9</v>
      </c>
      <c r="N12" s="18" t="s">
        <v>10</v>
      </c>
      <c r="O12" s="18" t="s">
        <v>9</v>
      </c>
      <c r="P12" s="18" t="s">
        <v>10</v>
      </c>
      <c r="Q12" s="18" t="s">
        <v>10</v>
      </c>
      <c r="R12" s="18" t="s">
        <v>10</v>
      </c>
      <c r="S12" s="18" t="s">
        <v>9</v>
      </c>
      <c r="T12" s="18" t="s">
        <v>9</v>
      </c>
      <c r="U12" s="18" t="s">
        <v>10</v>
      </c>
      <c r="V12" s="18" t="s">
        <v>9</v>
      </c>
      <c r="W12" s="18" t="s">
        <v>10</v>
      </c>
      <c r="X12" s="18" t="s">
        <v>9</v>
      </c>
      <c r="Y12" s="18" t="s">
        <v>10</v>
      </c>
      <c r="Z12" s="18" t="s">
        <v>17</v>
      </c>
      <c r="AA12" s="18" t="s">
        <v>17</v>
      </c>
      <c r="AB12" s="18" t="s">
        <v>17</v>
      </c>
      <c r="AC12" s="18" t="s">
        <v>17</v>
      </c>
      <c r="AD12" s="18" t="s">
        <v>10</v>
      </c>
      <c r="AE12" s="18" t="s">
        <v>10</v>
      </c>
      <c r="AF12" s="18" t="s">
        <v>9</v>
      </c>
      <c r="AG12" s="18" t="s">
        <v>9</v>
      </c>
      <c r="AH12" s="18" t="s">
        <v>10</v>
      </c>
      <c r="AI12" s="18" t="s">
        <v>10</v>
      </c>
      <c r="AJ12" s="18" t="s">
        <v>9</v>
      </c>
      <c r="AK12" s="18" t="s">
        <v>10</v>
      </c>
      <c r="AL12" s="18" t="s">
        <v>9</v>
      </c>
      <c r="AM12" s="18" t="s">
        <v>10</v>
      </c>
      <c r="AN12" s="18" t="s">
        <v>9</v>
      </c>
      <c r="AO12" s="18" t="s">
        <v>9</v>
      </c>
      <c r="AP12" s="18" t="s">
        <v>9</v>
      </c>
      <c r="AQ12" s="18" t="s">
        <v>17</v>
      </c>
      <c r="AR12" s="18" t="s">
        <v>9</v>
      </c>
      <c r="AS12" s="18" t="s">
        <v>10</v>
      </c>
      <c r="AT12" s="18" t="s">
        <v>17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/>
      <c r="BW12" s="18"/>
      <c r="BX12" s="18"/>
      <c r="BY12" s="18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</row>
    <row r="13" customFormat="false" ht="15.75" hidden="false" customHeight="true" outlineLevel="0" collapsed="false">
      <c r="A13" s="41" t="n">
        <v>4</v>
      </c>
      <c r="B13" s="58" t="n">
        <v>26266</v>
      </c>
      <c r="C13" s="60" t="s">
        <v>129</v>
      </c>
      <c r="D13" s="52" t="n">
        <f aca="false">COUNTIF($G13:$BY13,D$9)</f>
        <v>59</v>
      </c>
      <c r="E13" s="17" t="n">
        <f aca="false">COUNTIF($G13:$BY13,E$9)</f>
        <v>1</v>
      </c>
      <c r="F13" s="17" t="n">
        <f aca="false">COUNTIF($G13:$BY13,F$9)</f>
        <v>0</v>
      </c>
      <c r="G13" s="18" t="s">
        <v>9</v>
      </c>
      <c r="H13" s="18" t="s">
        <v>9</v>
      </c>
      <c r="I13" s="18" t="s">
        <v>9</v>
      </c>
      <c r="J13" s="18" t="s">
        <v>9</v>
      </c>
      <c r="K13" s="18" t="s">
        <v>9</v>
      </c>
      <c r="L13" s="18" t="s">
        <v>9</v>
      </c>
      <c r="M13" s="18" t="s">
        <v>9</v>
      </c>
      <c r="N13" s="18" t="s">
        <v>9</v>
      </c>
      <c r="O13" s="18" t="s">
        <v>9</v>
      </c>
      <c r="P13" s="18" t="s">
        <v>9</v>
      </c>
      <c r="Q13" s="18" t="s">
        <v>9</v>
      </c>
      <c r="R13" s="18" t="s">
        <v>9</v>
      </c>
      <c r="S13" s="18" t="s">
        <v>9</v>
      </c>
      <c r="T13" s="18" t="s">
        <v>9</v>
      </c>
      <c r="U13" s="18" t="s">
        <v>9</v>
      </c>
      <c r="V13" s="18" t="s">
        <v>9</v>
      </c>
      <c r="W13" s="18" t="s">
        <v>9</v>
      </c>
      <c r="X13" s="18" t="s">
        <v>9</v>
      </c>
      <c r="Y13" s="18" t="s">
        <v>9</v>
      </c>
      <c r="Z13" s="18" t="s">
        <v>17</v>
      </c>
      <c r="AA13" s="18" t="s">
        <v>17</v>
      </c>
      <c r="AB13" s="18" t="s">
        <v>17</v>
      </c>
      <c r="AC13" s="18" t="s">
        <v>17</v>
      </c>
      <c r="AD13" s="18" t="s">
        <v>9</v>
      </c>
      <c r="AE13" s="18" t="s">
        <v>9</v>
      </c>
      <c r="AF13" s="18" t="s">
        <v>9</v>
      </c>
      <c r="AG13" s="18" t="s">
        <v>9</v>
      </c>
      <c r="AH13" s="18" t="s">
        <v>9</v>
      </c>
      <c r="AI13" s="18" t="s">
        <v>9</v>
      </c>
      <c r="AJ13" s="18" t="s">
        <v>9</v>
      </c>
      <c r="AK13" s="18" t="s">
        <v>9</v>
      </c>
      <c r="AL13" s="18" t="s">
        <v>9</v>
      </c>
      <c r="AM13" s="18" t="s">
        <v>9</v>
      </c>
      <c r="AN13" s="18" t="s">
        <v>9</v>
      </c>
      <c r="AO13" s="18" t="s">
        <v>9</v>
      </c>
      <c r="AP13" s="18" t="s">
        <v>9</v>
      </c>
      <c r="AQ13" s="18" t="s">
        <v>17</v>
      </c>
      <c r="AR13" s="18" t="s">
        <v>9</v>
      </c>
      <c r="AS13" s="18" t="s">
        <v>9</v>
      </c>
      <c r="AT13" s="18" t="s">
        <v>17</v>
      </c>
      <c r="AU13" s="18" t="s">
        <v>10</v>
      </c>
      <c r="AV13" s="18" t="s">
        <v>9</v>
      </c>
      <c r="AW13" s="18" t="s">
        <v>9</v>
      </c>
      <c r="AX13" s="18" t="s">
        <v>9</v>
      </c>
      <c r="AY13" s="18" t="s">
        <v>9</v>
      </c>
      <c r="AZ13" s="18" t="s">
        <v>9</v>
      </c>
      <c r="BA13" s="18" t="s">
        <v>9</v>
      </c>
      <c r="BB13" s="18" t="s">
        <v>9</v>
      </c>
      <c r="BC13" s="18" t="s">
        <v>9</v>
      </c>
      <c r="BD13" s="18" t="s">
        <v>9</v>
      </c>
      <c r="BE13" s="18" t="s">
        <v>9</v>
      </c>
      <c r="BF13" s="18" t="s">
        <v>9</v>
      </c>
      <c r="BG13" s="18" t="s">
        <v>9</v>
      </c>
      <c r="BH13" s="18" t="s">
        <v>9</v>
      </c>
      <c r="BI13" s="18" t="s">
        <v>9</v>
      </c>
      <c r="BJ13" s="18" t="s">
        <v>9</v>
      </c>
      <c r="BK13" s="18" t="s">
        <v>9</v>
      </c>
      <c r="BL13" s="18" t="s">
        <v>9</v>
      </c>
      <c r="BM13" s="18" t="s">
        <v>9</v>
      </c>
      <c r="BN13" s="18" t="s">
        <v>9</v>
      </c>
      <c r="BO13" s="18" t="s">
        <v>9</v>
      </c>
      <c r="BP13" s="18" t="s">
        <v>9</v>
      </c>
      <c r="BQ13" s="18" t="s">
        <v>9</v>
      </c>
      <c r="BR13" s="18" t="s">
        <v>9</v>
      </c>
      <c r="BS13" s="18" t="s">
        <v>9</v>
      </c>
      <c r="BT13" s="18" t="s">
        <v>9</v>
      </c>
      <c r="BU13" s="18"/>
      <c r="BV13" s="18"/>
      <c r="BW13" s="18"/>
      <c r="BX13" s="18"/>
      <c r="BY13" s="18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</row>
    <row r="14" customFormat="false" ht="15.75" hidden="false" customHeight="true" outlineLevel="0" collapsed="false">
      <c r="A14" s="41" t="n">
        <v>5</v>
      </c>
      <c r="B14" s="58" t="n">
        <v>26257</v>
      </c>
      <c r="C14" s="60" t="s">
        <v>130</v>
      </c>
      <c r="D14" s="52" t="n">
        <f aca="false">COUNTIF($G14:$BY14,D$9)</f>
        <v>51</v>
      </c>
      <c r="E14" s="17" t="n">
        <f aca="false">COUNTIF($G14:$BY14,E$9)</f>
        <v>6</v>
      </c>
      <c r="F14" s="17" t="n">
        <f aca="false">COUNTIF($G14:$BY14,F$9)</f>
        <v>3</v>
      </c>
      <c r="G14" s="18" t="s">
        <v>9</v>
      </c>
      <c r="H14" s="18" t="s">
        <v>9</v>
      </c>
      <c r="I14" s="18" t="s">
        <v>9</v>
      </c>
      <c r="J14" s="18" t="s">
        <v>9</v>
      </c>
      <c r="K14" s="18" t="s">
        <v>9</v>
      </c>
      <c r="L14" s="18" t="s">
        <v>9</v>
      </c>
      <c r="M14" s="18" t="s">
        <v>9</v>
      </c>
      <c r="N14" s="18" t="s">
        <v>9</v>
      </c>
      <c r="O14" s="18" t="s">
        <v>9</v>
      </c>
      <c r="P14" s="18" t="s">
        <v>9</v>
      </c>
      <c r="Q14" s="18" t="s">
        <v>9</v>
      </c>
      <c r="R14" s="18" t="s">
        <v>9</v>
      </c>
      <c r="S14" s="18" t="s">
        <v>9</v>
      </c>
      <c r="T14" s="18" t="s">
        <v>9</v>
      </c>
      <c r="U14" s="18" t="s">
        <v>9</v>
      </c>
      <c r="V14" s="18" t="s">
        <v>9</v>
      </c>
      <c r="W14" s="18" t="s">
        <v>9</v>
      </c>
      <c r="X14" s="18" t="s">
        <v>9</v>
      </c>
      <c r="Y14" s="18" t="s">
        <v>9</v>
      </c>
      <c r="Z14" s="18" t="s">
        <v>17</v>
      </c>
      <c r="AA14" s="18" t="s">
        <v>17</v>
      </c>
      <c r="AB14" s="18" t="s">
        <v>17</v>
      </c>
      <c r="AC14" s="18" t="s">
        <v>17</v>
      </c>
      <c r="AD14" s="18" t="s">
        <v>9</v>
      </c>
      <c r="AE14" s="18" t="s">
        <v>9</v>
      </c>
      <c r="AF14" s="18" t="s">
        <v>9</v>
      </c>
      <c r="AG14" s="18" t="s">
        <v>9</v>
      </c>
      <c r="AH14" s="18" t="s">
        <v>9</v>
      </c>
      <c r="AI14" s="18" t="s">
        <v>9</v>
      </c>
      <c r="AJ14" s="18" t="s">
        <v>9</v>
      </c>
      <c r="AK14" s="18" t="s">
        <v>9</v>
      </c>
      <c r="AL14" s="18" t="s">
        <v>9</v>
      </c>
      <c r="AM14" s="18" t="s">
        <v>9</v>
      </c>
      <c r="AN14" s="18" t="s">
        <v>9</v>
      </c>
      <c r="AO14" s="18" t="s">
        <v>9</v>
      </c>
      <c r="AP14" s="18" t="s">
        <v>9</v>
      </c>
      <c r="AQ14" s="18" t="s">
        <v>17</v>
      </c>
      <c r="AR14" s="18" t="s">
        <v>9</v>
      </c>
      <c r="AS14" s="18" t="s">
        <v>9</v>
      </c>
      <c r="AT14" s="18" t="s">
        <v>17</v>
      </c>
      <c r="AU14" s="18" t="s">
        <v>9</v>
      </c>
      <c r="AV14" s="18" t="s">
        <v>9</v>
      </c>
      <c r="AW14" s="18" t="s">
        <v>9</v>
      </c>
      <c r="AX14" s="18" t="s">
        <v>9</v>
      </c>
      <c r="AY14" s="18" t="s">
        <v>9</v>
      </c>
      <c r="AZ14" s="18" t="s">
        <v>9</v>
      </c>
      <c r="BA14" s="18" t="s">
        <v>9</v>
      </c>
      <c r="BB14" s="18" t="s">
        <v>9</v>
      </c>
      <c r="BC14" s="18" t="s">
        <v>9</v>
      </c>
      <c r="BD14" s="18" t="s">
        <v>11</v>
      </c>
      <c r="BE14" s="18" t="s">
        <v>9</v>
      </c>
      <c r="BF14" s="18" t="s">
        <v>9</v>
      </c>
      <c r="BG14" s="18" t="s">
        <v>9</v>
      </c>
      <c r="BH14" s="18" t="s">
        <v>9</v>
      </c>
      <c r="BI14" s="18" t="s">
        <v>11</v>
      </c>
      <c r="BJ14" s="18" t="s">
        <v>9</v>
      </c>
      <c r="BK14" s="18" t="s">
        <v>9</v>
      </c>
      <c r="BL14" s="18" t="s">
        <v>10</v>
      </c>
      <c r="BM14" s="18" t="s">
        <v>11</v>
      </c>
      <c r="BN14" s="18" t="s">
        <v>9</v>
      </c>
      <c r="BO14" s="18" t="s">
        <v>10</v>
      </c>
      <c r="BP14" s="18" t="s">
        <v>9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/>
      <c r="BV14" s="18"/>
      <c r="BW14" s="18"/>
      <c r="BX14" s="18"/>
      <c r="BY14" s="18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</row>
    <row r="15" customFormat="false" ht="15.75" hidden="false" customHeight="true" outlineLevel="0" collapsed="false">
      <c r="A15" s="41" t="n">
        <v>6</v>
      </c>
      <c r="B15" s="58" t="n">
        <v>26258</v>
      </c>
      <c r="C15" s="60" t="s">
        <v>131</v>
      </c>
      <c r="D15" s="52" t="n">
        <f aca="false">COUNTIF($G15:$BY15,D$9)</f>
        <v>57</v>
      </c>
      <c r="E15" s="17" t="n">
        <f aca="false">COUNTIF($G15:$BY15,E$9)</f>
        <v>1</v>
      </c>
      <c r="F15" s="17" t="n">
        <f aca="false">COUNTIF($G15:$BY15,F$9)</f>
        <v>2</v>
      </c>
      <c r="G15" s="18" t="s">
        <v>9</v>
      </c>
      <c r="H15" s="18" t="s">
        <v>9</v>
      </c>
      <c r="I15" s="18" t="s">
        <v>9</v>
      </c>
      <c r="J15" s="18" t="s">
        <v>9</v>
      </c>
      <c r="K15" s="18" t="s">
        <v>9</v>
      </c>
      <c r="L15" s="18" t="s">
        <v>9</v>
      </c>
      <c r="M15" s="18" t="s">
        <v>9</v>
      </c>
      <c r="N15" s="18" t="s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9</v>
      </c>
      <c r="U15" s="18" t="s">
        <v>9</v>
      </c>
      <c r="V15" s="18" t="s">
        <v>9</v>
      </c>
      <c r="W15" s="18" t="s">
        <v>9</v>
      </c>
      <c r="X15" s="18" t="s">
        <v>9</v>
      </c>
      <c r="Y15" s="18" t="s">
        <v>9</v>
      </c>
      <c r="Z15" s="18" t="s">
        <v>17</v>
      </c>
      <c r="AA15" s="18" t="s">
        <v>17</v>
      </c>
      <c r="AB15" s="18" t="s">
        <v>17</v>
      </c>
      <c r="AC15" s="18"/>
      <c r="AD15" s="18" t="s">
        <v>9</v>
      </c>
      <c r="AE15" s="18" t="s">
        <v>9</v>
      </c>
      <c r="AF15" s="18" t="s">
        <v>9</v>
      </c>
      <c r="AG15" s="18" t="s">
        <v>9</v>
      </c>
      <c r="AH15" s="18" t="s">
        <v>9</v>
      </c>
      <c r="AI15" s="18" t="s">
        <v>9</v>
      </c>
      <c r="AJ15" s="18" t="s">
        <v>9</v>
      </c>
      <c r="AK15" s="18" t="s">
        <v>9</v>
      </c>
      <c r="AL15" s="18" t="s">
        <v>9</v>
      </c>
      <c r="AM15" s="18" t="s">
        <v>9</v>
      </c>
      <c r="AN15" s="18" t="s">
        <v>9</v>
      </c>
      <c r="AO15" s="18" t="s">
        <v>9</v>
      </c>
      <c r="AP15" s="18" t="s">
        <v>9</v>
      </c>
      <c r="AQ15" s="18" t="s">
        <v>17</v>
      </c>
      <c r="AR15" s="18" t="s">
        <v>9</v>
      </c>
      <c r="AS15" s="18" t="s">
        <v>9</v>
      </c>
      <c r="AT15" s="18" t="s">
        <v>17</v>
      </c>
      <c r="AU15" s="18" t="s">
        <v>9</v>
      </c>
      <c r="AV15" s="18" t="s">
        <v>9</v>
      </c>
      <c r="AW15" s="18" t="s">
        <v>9</v>
      </c>
      <c r="AX15" s="18" t="s">
        <v>9</v>
      </c>
      <c r="AY15" s="18" t="s">
        <v>9</v>
      </c>
      <c r="AZ15" s="18" t="s">
        <v>9</v>
      </c>
      <c r="BA15" s="18" t="s">
        <v>9</v>
      </c>
      <c r="BB15" s="18" t="s">
        <v>9</v>
      </c>
      <c r="BC15" s="18" t="s">
        <v>9</v>
      </c>
      <c r="BD15" s="18" t="s">
        <v>9</v>
      </c>
      <c r="BE15" s="18" t="s">
        <v>9</v>
      </c>
      <c r="BF15" s="18" t="s">
        <v>9</v>
      </c>
      <c r="BG15" s="18" t="s">
        <v>9</v>
      </c>
      <c r="BH15" s="18" t="s">
        <v>9</v>
      </c>
      <c r="BI15" s="18" t="s">
        <v>9</v>
      </c>
      <c r="BJ15" s="18" t="s">
        <v>9</v>
      </c>
      <c r="BK15" s="18" t="s">
        <v>9</v>
      </c>
      <c r="BL15" s="18" t="s">
        <v>10</v>
      </c>
      <c r="BM15" s="18" t="s">
        <v>11</v>
      </c>
      <c r="BN15" s="18" t="s">
        <v>11</v>
      </c>
      <c r="BO15" s="18" t="s">
        <v>9</v>
      </c>
      <c r="BP15" s="18" t="s">
        <v>9</v>
      </c>
      <c r="BQ15" s="18" t="s">
        <v>9</v>
      </c>
      <c r="BR15" s="18" t="s">
        <v>9</v>
      </c>
      <c r="BS15" s="18" t="s">
        <v>9</v>
      </c>
      <c r="BT15" s="18" t="s">
        <v>9</v>
      </c>
      <c r="BU15" s="18"/>
      <c r="BV15" s="18"/>
      <c r="BW15" s="18"/>
      <c r="BX15" s="18"/>
      <c r="BY15" s="18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</row>
    <row r="16" customFormat="false" ht="15.75" hidden="false" customHeight="true" outlineLevel="0" collapsed="false">
      <c r="A16" s="41" t="n">
        <v>7</v>
      </c>
      <c r="B16" s="61" t="n">
        <v>26273</v>
      </c>
      <c r="C16" s="60" t="s">
        <v>132</v>
      </c>
      <c r="D16" s="52" t="n">
        <f aca="false">COUNTIF($G16:$BY16,D$9)</f>
        <v>55</v>
      </c>
      <c r="E16" s="17" t="n">
        <f aca="false">COUNTIF($G16:$BY16,E$9)</f>
        <v>4</v>
      </c>
      <c r="F16" s="17" t="n">
        <f aca="false">COUNTIF($G16:$BY16,F$9)</f>
        <v>1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 t="s">
        <v>9</v>
      </c>
      <c r="M16" s="18" t="s">
        <v>9</v>
      </c>
      <c r="N16" s="18" t="s">
        <v>9</v>
      </c>
      <c r="O16" s="18" t="s">
        <v>9</v>
      </c>
      <c r="P16" s="18" t="s">
        <v>9</v>
      </c>
      <c r="Q16" s="18" t="s">
        <v>9</v>
      </c>
      <c r="R16" s="18" t="s">
        <v>9</v>
      </c>
      <c r="S16" s="18" t="s">
        <v>9</v>
      </c>
      <c r="T16" s="18" t="s">
        <v>9</v>
      </c>
      <c r="U16" s="18" t="s">
        <v>10</v>
      </c>
      <c r="V16" s="18" t="s">
        <v>9</v>
      </c>
      <c r="W16" s="18" t="s">
        <v>9</v>
      </c>
      <c r="X16" s="18" t="s">
        <v>9</v>
      </c>
      <c r="Y16" s="18" t="s">
        <v>9</v>
      </c>
      <c r="Z16" s="18" t="s">
        <v>17</v>
      </c>
      <c r="AA16" s="18" t="s">
        <v>17</v>
      </c>
      <c r="AB16" s="18" t="s">
        <v>17</v>
      </c>
      <c r="AC16" s="18" t="s">
        <v>17</v>
      </c>
      <c r="AD16" s="18" t="s">
        <v>10</v>
      </c>
      <c r="AE16" s="18" t="s">
        <v>9</v>
      </c>
      <c r="AF16" s="18" t="s">
        <v>9</v>
      </c>
      <c r="AG16" s="18" t="s">
        <v>9</v>
      </c>
      <c r="AH16" s="18" t="s">
        <v>9</v>
      </c>
      <c r="AI16" s="18" t="s">
        <v>9</v>
      </c>
      <c r="AJ16" s="18" t="s">
        <v>9</v>
      </c>
      <c r="AK16" s="18" t="s">
        <v>9</v>
      </c>
      <c r="AL16" s="18" t="s">
        <v>9</v>
      </c>
      <c r="AM16" s="18" t="s">
        <v>9</v>
      </c>
      <c r="AN16" s="18" t="s">
        <v>9</v>
      </c>
      <c r="AO16" s="18" t="s">
        <v>9</v>
      </c>
      <c r="AP16" s="18" t="s">
        <v>9</v>
      </c>
      <c r="AQ16" s="18" t="s">
        <v>17</v>
      </c>
      <c r="AR16" s="18" t="s">
        <v>9</v>
      </c>
      <c r="AS16" s="18" t="s">
        <v>9</v>
      </c>
      <c r="AT16" s="18" t="s">
        <v>17</v>
      </c>
      <c r="AU16" s="18" t="s">
        <v>9</v>
      </c>
      <c r="AV16" s="18" t="s">
        <v>9</v>
      </c>
      <c r="AW16" s="18" t="s">
        <v>9</v>
      </c>
      <c r="AX16" s="18" t="s">
        <v>9</v>
      </c>
      <c r="AY16" s="18" t="s">
        <v>9</v>
      </c>
      <c r="AZ16" s="18" t="s">
        <v>9</v>
      </c>
      <c r="BA16" s="18" t="s">
        <v>9</v>
      </c>
      <c r="BB16" s="18" t="s">
        <v>9</v>
      </c>
      <c r="BC16" s="18" t="s">
        <v>11</v>
      </c>
      <c r="BD16" s="18" t="s">
        <v>9</v>
      </c>
      <c r="BE16" s="18" t="s">
        <v>9</v>
      </c>
      <c r="BF16" s="18" t="s">
        <v>9</v>
      </c>
      <c r="BG16" s="18" t="s">
        <v>9</v>
      </c>
      <c r="BH16" s="18" t="s">
        <v>9</v>
      </c>
      <c r="BI16" s="18" t="s">
        <v>10</v>
      </c>
      <c r="BJ16" s="18" t="s">
        <v>9</v>
      </c>
      <c r="BK16" s="18" t="s">
        <v>9</v>
      </c>
      <c r="BL16" s="18" t="s">
        <v>10</v>
      </c>
      <c r="BM16" s="18" t="s">
        <v>9</v>
      </c>
      <c r="BN16" s="18" t="s">
        <v>9</v>
      </c>
      <c r="BO16" s="18" t="s">
        <v>9</v>
      </c>
      <c r="BP16" s="18" t="s">
        <v>9</v>
      </c>
      <c r="BQ16" s="18" t="s">
        <v>9</v>
      </c>
      <c r="BR16" s="18" t="s">
        <v>9</v>
      </c>
      <c r="BS16" s="18" t="s">
        <v>9</v>
      </c>
      <c r="BT16" s="18" t="s">
        <v>9</v>
      </c>
      <c r="BU16" s="18"/>
      <c r="BV16" s="18"/>
      <c r="BW16" s="18"/>
      <c r="BX16" s="18"/>
      <c r="BY16" s="18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</row>
    <row r="17" customFormat="false" ht="15.75" hidden="false" customHeight="true" outlineLevel="0" collapsed="false">
      <c r="A17" s="41" t="n">
        <v>8</v>
      </c>
      <c r="B17" s="58" t="n">
        <v>26259</v>
      </c>
      <c r="C17" s="60" t="s">
        <v>133</v>
      </c>
      <c r="D17" s="52" t="n">
        <f aca="false">COUNTIF($G17:$BY17,D$9)</f>
        <v>43</v>
      </c>
      <c r="E17" s="17" t="n">
        <f aca="false">COUNTIF($G17:$BY17,E$9)</f>
        <v>13</v>
      </c>
      <c r="F17" s="17" t="n">
        <f aca="false">COUNTIF($G17:$BY17,F$9)</f>
        <v>2</v>
      </c>
      <c r="G17" s="18" t="s">
        <v>9</v>
      </c>
      <c r="H17" s="18" t="s">
        <v>9</v>
      </c>
      <c r="I17" s="18" t="s">
        <v>9</v>
      </c>
      <c r="J17" s="18" t="s">
        <v>9</v>
      </c>
      <c r="K17" s="18" t="s">
        <v>9</v>
      </c>
      <c r="L17" s="18" t="s">
        <v>9</v>
      </c>
      <c r="M17" s="18" t="s">
        <v>9</v>
      </c>
      <c r="N17" s="18" t="s">
        <v>9</v>
      </c>
      <c r="O17" s="18" t="s">
        <v>9</v>
      </c>
      <c r="P17" s="18" t="s">
        <v>9</v>
      </c>
      <c r="Q17" s="18" t="s">
        <v>9</v>
      </c>
      <c r="R17" s="18" t="s">
        <v>9</v>
      </c>
      <c r="S17" s="18" t="s">
        <v>9</v>
      </c>
      <c r="T17" s="18" t="s">
        <v>9</v>
      </c>
      <c r="U17" s="18" t="s">
        <v>9</v>
      </c>
      <c r="V17" s="18" t="s">
        <v>9</v>
      </c>
      <c r="W17" s="18" t="s">
        <v>9</v>
      </c>
      <c r="X17" s="18" t="s">
        <v>9</v>
      </c>
      <c r="Y17" s="18" t="s">
        <v>9</v>
      </c>
      <c r="Z17" s="18" t="s">
        <v>17</v>
      </c>
      <c r="AA17" s="18" t="s">
        <v>17</v>
      </c>
      <c r="AB17" s="18" t="s">
        <v>17</v>
      </c>
      <c r="AC17" s="18" t="s">
        <v>17</v>
      </c>
      <c r="AD17" s="18" t="s">
        <v>9</v>
      </c>
      <c r="AE17" s="18" t="s">
        <v>10</v>
      </c>
      <c r="AF17" s="18" t="s">
        <v>9</v>
      </c>
      <c r="AG17" s="18" t="s">
        <v>9</v>
      </c>
      <c r="AH17" s="18" t="s">
        <v>9</v>
      </c>
      <c r="AI17" s="18" t="s">
        <v>10</v>
      </c>
      <c r="AJ17" s="18" t="s">
        <v>9</v>
      </c>
      <c r="AK17" s="18" t="s">
        <v>9</v>
      </c>
      <c r="AL17" s="18" t="s">
        <v>9</v>
      </c>
      <c r="AM17" s="18" t="s">
        <v>9</v>
      </c>
      <c r="AN17" s="18" t="s">
        <v>9</v>
      </c>
      <c r="AO17" s="18" t="s">
        <v>9</v>
      </c>
      <c r="AP17" s="18" t="s">
        <v>9</v>
      </c>
      <c r="AQ17" s="18" t="s">
        <v>17</v>
      </c>
      <c r="AR17" s="18" t="s">
        <v>10</v>
      </c>
      <c r="AS17" s="18" t="s">
        <v>10</v>
      </c>
      <c r="AT17" s="18" t="s">
        <v>17</v>
      </c>
      <c r="AU17" s="18" t="s">
        <v>9</v>
      </c>
      <c r="AV17" s="18" t="s">
        <v>10</v>
      </c>
      <c r="AW17" s="18" t="s">
        <v>10</v>
      </c>
      <c r="AX17" s="18" t="s">
        <v>9</v>
      </c>
      <c r="AY17" s="18" t="s">
        <v>9</v>
      </c>
      <c r="AZ17" s="18" t="s">
        <v>57</v>
      </c>
      <c r="BA17" s="18" t="s">
        <v>57</v>
      </c>
      <c r="BB17" s="18" t="s">
        <v>9</v>
      </c>
      <c r="BC17" s="18" t="s">
        <v>9</v>
      </c>
      <c r="BD17" s="18" t="s">
        <v>9</v>
      </c>
      <c r="BE17" s="18" t="s">
        <v>10</v>
      </c>
      <c r="BF17" s="18" t="s">
        <v>9</v>
      </c>
      <c r="BG17" s="18" t="s">
        <v>9</v>
      </c>
      <c r="BH17" s="18" t="s">
        <v>9</v>
      </c>
      <c r="BI17" s="18" t="s">
        <v>10</v>
      </c>
      <c r="BJ17" s="18" t="s">
        <v>10</v>
      </c>
      <c r="BK17" s="18" t="s">
        <v>10</v>
      </c>
      <c r="BL17" s="18" t="s">
        <v>9</v>
      </c>
      <c r="BM17" s="18" t="s">
        <v>10</v>
      </c>
      <c r="BN17" s="18" t="s">
        <v>9</v>
      </c>
      <c r="BO17" s="18" t="s">
        <v>10</v>
      </c>
      <c r="BP17" s="18" t="s">
        <v>9</v>
      </c>
      <c r="BQ17" s="18" t="s">
        <v>10</v>
      </c>
      <c r="BR17" s="18" t="s">
        <v>9</v>
      </c>
      <c r="BS17" s="18" t="s">
        <v>11</v>
      </c>
      <c r="BT17" s="18" t="s">
        <v>11</v>
      </c>
      <c r="BU17" s="18"/>
      <c r="BV17" s="18"/>
      <c r="BW17" s="18"/>
      <c r="BX17" s="18"/>
      <c r="BY17" s="18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</row>
    <row r="18" customFormat="false" ht="15.75" hidden="false" customHeight="true" outlineLevel="0" collapsed="false">
      <c r="A18" s="41" t="n">
        <v>9</v>
      </c>
      <c r="B18" s="58" t="n">
        <v>26261</v>
      </c>
      <c r="C18" s="60" t="s">
        <v>134</v>
      </c>
      <c r="D18" s="52" t="n">
        <f aca="false">COUNTIF($G18:$BY18,D$9)</f>
        <v>34</v>
      </c>
      <c r="E18" s="17" t="n">
        <f aca="false">COUNTIF($G18:$BY18,E$9)</f>
        <v>23</v>
      </c>
      <c r="F18" s="17" t="n">
        <f aca="false">COUNTIF($G18:$BY18,F$9)</f>
        <v>3</v>
      </c>
      <c r="G18" s="18" t="s">
        <v>9</v>
      </c>
      <c r="H18" s="18" t="s">
        <v>9</v>
      </c>
      <c r="I18" s="18" t="s">
        <v>9</v>
      </c>
      <c r="J18" s="18" t="s">
        <v>9</v>
      </c>
      <c r="K18" s="18" t="s">
        <v>9</v>
      </c>
      <c r="L18" s="18" t="s">
        <v>9</v>
      </c>
      <c r="M18" s="18" t="s">
        <v>9</v>
      </c>
      <c r="N18" s="18" t="s">
        <v>9</v>
      </c>
      <c r="O18" s="18" t="s">
        <v>9</v>
      </c>
      <c r="P18" s="18" t="s">
        <v>9</v>
      </c>
      <c r="Q18" s="18" t="s">
        <v>9</v>
      </c>
      <c r="R18" s="18" t="s">
        <v>9</v>
      </c>
      <c r="S18" s="18" t="s">
        <v>9</v>
      </c>
      <c r="T18" s="18" t="s">
        <v>10</v>
      </c>
      <c r="U18" s="18" t="s">
        <v>9</v>
      </c>
      <c r="V18" s="18" t="s">
        <v>9</v>
      </c>
      <c r="W18" s="18" t="s">
        <v>9</v>
      </c>
      <c r="X18" s="18" t="s">
        <v>9</v>
      </c>
      <c r="Y18" s="18" t="s">
        <v>9</v>
      </c>
      <c r="Z18" s="18" t="s">
        <v>17</v>
      </c>
      <c r="AA18" s="18" t="s">
        <v>17</v>
      </c>
      <c r="AB18" s="18" t="s">
        <v>17</v>
      </c>
      <c r="AC18" s="18" t="s">
        <v>17</v>
      </c>
      <c r="AD18" s="18" t="s">
        <v>10</v>
      </c>
      <c r="AE18" s="18" t="s">
        <v>9</v>
      </c>
      <c r="AF18" s="18" t="s">
        <v>9</v>
      </c>
      <c r="AG18" s="18" t="s">
        <v>9</v>
      </c>
      <c r="AH18" s="18" t="s">
        <v>9</v>
      </c>
      <c r="AI18" s="18" t="s">
        <v>10</v>
      </c>
      <c r="AJ18" s="18" t="s">
        <v>9</v>
      </c>
      <c r="AK18" s="18" t="s">
        <v>10</v>
      </c>
      <c r="AL18" s="18" t="s">
        <v>9</v>
      </c>
      <c r="AM18" s="18" t="s">
        <v>9</v>
      </c>
      <c r="AN18" s="18" t="s">
        <v>9</v>
      </c>
      <c r="AO18" s="18" t="s">
        <v>9</v>
      </c>
      <c r="AP18" s="18" t="s">
        <v>9</v>
      </c>
      <c r="AQ18" s="18" t="s">
        <v>17</v>
      </c>
      <c r="AR18" s="18" t="s">
        <v>11</v>
      </c>
      <c r="AS18" s="18" t="s">
        <v>9</v>
      </c>
      <c r="AT18" s="18" t="s">
        <v>17</v>
      </c>
      <c r="AU18" s="18" t="s">
        <v>9</v>
      </c>
      <c r="AV18" s="18" t="s">
        <v>10</v>
      </c>
      <c r="AW18" s="18" t="s">
        <v>9</v>
      </c>
      <c r="AX18" s="18" t="s">
        <v>9</v>
      </c>
      <c r="AY18" s="18" t="s">
        <v>9</v>
      </c>
      <c r="AZ18" s="18" t="s">
        <v>9</v>
      </c>
      <c r="BA18" s="18" t="s">
        <v>10</v>
      </c>
      <c r="BB18" s="18" t="s">
        <v>11</v>
      </c>
      <c r="BC18" s="18" t="s">
        <v>11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/>
      <c r="BV18" s="18"/>
      <c r="BW18" s="18"/>
      <c r="BX18" s="18"/>
      <c r="BY18" s="18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</row>
    <row r="19" customFormat="false" ht="15.75" hidden="false" customHeight="true" outlineLevel="0" collapsed="false">
      <c r="A19" s="41" t="n">
        <v>10</v>
      </c>
      <c r="B19" s="62" t="n">
        <v>26262</v>
      </c>
      <c r="C19" s="60" t="s">
        <v>135</v>
      </c>
      <c r="D19" s="52" t="n">
        <f aca="false">COUNTIF($G19:$BY19,D$9)</f>
        <v>47</v>
      </c>
      <c r="E19" s="17" t="n">
        <f aca="false">COUNTIF($G19:$BY19,E$9)</f>
        <v>10</v>
      </c>
      <c r="F19" s="17" t="n">
        <f aca="false">COUNTIF($G19:$BY19,F$9)</f>
        <v>3</v>
      </c>
      <c r="G19" s="18" t="s">
        <v>9</v>
      </c>
      <c r="H19" s="18" t="s">
        <v>9</v>
      </c>
      <c r="I19" s="18" t="s">
        <v>9</v>
      </c>
      <c r="J19" s="18" t="s">
        <v>9</v>
      </c>
      <c r="K19" s="18" t="s">
        <v>9</v>
      </c>
      <c r="L19" s="18" t="s">
        <v>9</v>
      </c>
      <c r="M19" s="18" t="s">
        <v>9</v>
      </c>
      <c r="N19" s="18" t="s">
        <v>9</v>
      </c>
      <c r="O19" s="18" t="s">
        <v>9</v>
      </c>
      <c r="P19" s="18" t="s">
        <v>9</v>
      </c>
      <c r="Q19" s="18" t="s">
        <v>9</v>
      </c>
      <c r="R19" s="18" t="s">
        <v>9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9</v>
      </c>
      <c r="Z19" s="18" t="s">
        <v>17</v>
      </c>
      <c r="AA19" s="18" t="s">
        <v>17</v>
      </c>
      <c r="AB19" s="18" t="s">
        <v>17</v>
      </c>
      <c r="AC19" s="18" t="s">
        <v>17</v>
      </c>
      <c r="AD19" s="18" t="s">
        <v>9</v>
      </c>
      <c r="AE19" s="18" t="s">
        <v>9</v>
      </c>
      <c r="AF19" s="18" t="s">
        <v>9</v>
      </c>
      <c r="AG19" s="18" t="s">
        <v>9</v>
      </c>
      <c r="AH19" s="18" t="s">
        <v>9</v>
      </c>
      <c r="AI19" s="18" t="s">
        <v>10</v>
      </c>
      <c r="AJ19" s="18" t="s">
        <v>9</v>
      </c>
      <c r="AK19" s="18" t="s">
        <v>9</v>
      </c>
      <c r="AL19" s="18" t="s">
        <v>9</v>
      </c>
      <c r="AM19" s="18" t="s">
        <v>9</v>
      </c>
      <c r="AN19" s="18" t="s">
        <v>9</v>
      </c>
      <c r="AO19" s="18" t="s">
        <v>9</v>
      </c>
      <c r="AP19" s="18" t="s">
        <v>9</v>
      </c>
      <c r="AQ19" s="18" t="s">
        <v>17</v>
      </c>
      <c r="AR19" s="18" t="s">
        <v>9</v>
      </c>
      <c r="AS19" s="18" t="s">
        <v>9</v>
      </c>
      <c r="AT19" s="18" t="s">
        <v>17</v>
      </c>
      <c r="AU19" s="18" t="s">
        <v>10</v>
      </c>
      <c r="AV19" s="18" t="s">
        <v>9</v>
      </c>
      <c r="AW19" s="18" t="s">
        <v>9</v>
      </c>
      <c r="AX19" s="18" t="s">
        <v>9</v>
      </c>
      <c r="AY19" s="18" t="s">
        <v>10</v>
      </c>
      <c r="AZ19" s="18" t="s">
        <v>9</v>
      </c>
      <c r="BA19" s="18" t="s">
        <v>11</v>
      </c>
      <c r="BB19" s="18" t="s">
        <v>11</v>
      </c>
      <c r="BC19" s="18" t="s">
        <v>11</v>
      </c>
      <c r="BD19" s="18" t="s">
        <v>10</v>
      </c>
      <c r="BE19" s="18" t="s">
        <v>9</v>
      </c>
      <c r="BF19" s="18" t="s">
        <v>9</v>
      </c>
      <c r="BG19" s="18" t="s">
        <v>9</v>
      </c>
      <c r="BH19" s="18" t="s">
        <v>9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9</v>
      </c>
      <c r="BN19" s="18" t="s">
        <v>9</v>
      </c>
      <c r="BO19" s="18" t="s">
        <v>9</v>
      </c>
      <c r="BP19" s="18" t="s">
        <v>9</v>
      </c>
      <c r="BQ19" s="18" t="s">
        <v>10</v>
      </c>
      <c r="BR19" s="18" t="s">
        <v>9</v>
      </c>
      <c r="BS19" s="18" t="s">
        <v>9</v>
      </c>
      <c r="BT19" s="18" t="s">
        <v>10</v>
      </c>
      <c r="BU19" s="18"/>
      <c r="BV19" s="18"/>
      <c r="BW19" s="18"/>
      <c r="BX19" s="18"/>
      <c r="BY19" s="18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</row>
    <row r="20" customFormat="false" ht="15.75" hidden="false" customHeight="true" outlineLevel="0" collapsed="false">
      <c r="A20" s="41" t="n">
        <v>11</v>
      </c>
      <c r="B20" s="58" t="n">
        <v>26267</v>
      </c>
      <c r="C20" s="60" t="s">
        <v>136</v>
      </c>
      <c r="D20" s="52" t="n">
        <f aca="false">COUNTIF($G20:$BY20,D$9)</f>
        <v>21</v>
      </c>
      <c r="E20" s="17" t="n">
        <f aca="false">COUNTIF($G20:$BY20,E$9)</f>
        <v>39</v>
      </c>
      <c r="F20" s="17" t="n">
        <f aca="false">COUNTIF($G20:$BY20,F$9)</f>
        <v>0</v>
      </c>
      <c r="G20" s="18" t="s">
        <v>9</v>
      </c>
      <c r="H20" s="18" t="s">
        <v>9</v>
      </c>
      <c r="I20" s="18" t="s">
        <v>9</v>
      </c>
      <c r="J20" s="18" t="s">
        <v>9</v>
      </c>
      <c r="K20" s="18" t="s">
        <v>9</v>
      </c>
      <c r="L20" s="18" t="s">
        <v>9</v>
      </c>
      <c r="M20" s="18" t="s">
        <v>9</v>
      </c>
      <c r="N20" s="18" t="s">
        <v>9</v>
      </c>
      <c r="O20" s="18" t="s">
        <v>9</v>
      </c>
      <c r="P20" s="18" t="s">
        <v>9</v>
      </c>
      <c r="Q20" s="18" t="s">
        <v>9</v>
      </c>
      <c r="R20" s="18" t="s">
        <v>9</v>
      </c>
      <c r="S20" s="18" t="s">
        <v>9</v>
      </c>
      <c r="T20" s="18" t="s">
        <v>9</v>
      </c>
      <c r="U20" s="18" t="s">
        <v>9</v>
      </c>
      <c r="V20" s="18" t="s">
        <v>10</v>
      </c>
      <c r="W20" s="18" t="s">
        <v>9</v>
      </c>
      <c r="X20" s="18" t="s">
        <v>9</v>
      </c>
      <c r="Y20" s="18" t="s">
        <v>10</v>
      </c>
      <c r="Z20" s="18" t="s">
        <v>17</v>
      </c>
      <c r="AA20" s="18" t="s">
        <v>17</v>
      </c>
      <c r="AB20" s="18" t="s">
        <v>17</v>
      </c>
      <c r="AC20" s="18" t="s">
        <v>17</v>
      </c>
      <c r="AD20" s="18" t="s">
        <v>10</v>
      </c>
      <c r="AE20" s="18" t="s">
        <v>9</v>
      </c>
      <c r="AF20" s="18" t="s">
        <v>9</v>
      </c>
      <c r="AG20" s="18" t="s">
        <v>9</v>
      </c>
      <c r="AH20" s="18" t="s">
        <v>9</v>
      </c>
      <c r="AI20" s="18" t="s">
        <v>10</v>
      </c>
      <c r="AJ20" s="18" t="s">
        <v>10</v>
      </c>
      <c r="AK20" s="18" t="s">
        <v>10</v>
      </c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17</v>
      </c>
      <c r="AR20" s="18" t="s">
        <v>10</v>
      </c>
      <c r="AS20" s="18" t="s">
        <v>10</v>
      </c>
      <c r="AT20" s="18" t="s">
        <v>17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/>
      <c r="BV20" s="18"/>
      <c r="BW20" s="18"/>
      <c r="BX20" s="18"/>
      <c r="BY20" s="18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</row>
    <row r="21" customFormat="false" ht="15.75" hidden="false" customHeight="true" outlineLevel="0" collapsed="false">
      <c r="A21" s="41" t="n">
        <v>12</v>
      </c>
      <c r="B21" s="63" t="n">
        <v>26263</v>
      </c>
      <c r="C21" s="60" t="s">
        <v>137</v>
      </c>
      <c r="D21" s="52" t="n">
        <f aca="false">COUNTIF($G21:$BY21,D$9)</f>
        <v>27</v>
      </c>
      <c r="E21" s="17" t="n">
        <f aca="false">COUNTIF($G21:$BY21,E$9)</f>
        <v>33</v>
      </c>
      <c r="F21" s="17" t="n">
        <f aca="false">COUNTIF($G21:$BY21,F$9)</f>
        <v>0</v>
      </c>
      <c r="G21" s="18" t="s">
        <v>9</v>
      </c>
      <c r="H21" s="18" t="s">
        <v>9</v>
      </c>
      <c r="I21" s="18" t="s">
        <v>9</v>
      </c>
      <c r="J21" s="18" t="s">
        <v>9</v>
      </c>
      <c r="K21" s="18" t="s">
        <v>9</v>
      </c>
      <c r="L21" s="18" t="s">
        <v>9</v>
      </c>
      <c r="M21" s="18" t="s">
        <v>9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9</v>
      </c>
      <c r="S21" s="18" t="s">
        <v>10</v>
      </c>
      <c r="T21" s="18" t="s">
        <v>10</v>
      </c>
      <c r="U21" s="18" t="s">
        <v>9</v>
      </c>
      <c r="V21" s="18" t="s">
        <v>9</v>
      </c>
      <c r="W21" s="18" t="s">
        <v>9</v>
      </c>
      <c r="X21" s="18" t="s">
        <v>10</v>
      </c>
      <c r="Y21" s="18" t="s">
        <v>10</v>
      </c>
      <c r="Z21" s="18" t="s">
        <v>17</v>
      </c>
      <c r="AA21" s="18" t="s">
        <v>17</v>
      </c>
      <c r="AB21" s="18" t="s">
        <v>17</v>
      </c>
      <c r="AC21" s="18" t="s">
        <v>17</v>
      </c>
      <c r="AD21" s="18" t="s">
        <v>10</v>
      </c>
      <c r="AE21" s="18" t="s">
        <v>9</v>
      </c>
      <c r="AF21" s="18" t="s">
        <v>10</v>
      </c>
      <c r="AG21" s="18" t="s">
        <v>9</v>
      </c>
      <c r="AH21" s="18" t="s">
        <v>9</v>
      </c>
      <c r="AI21" s="18" t="s">
        <v>9</v>
      </c>
      <c r="AJ21" s="18" t="s">
        <v>10</v>
      </c>
      <c r="AK21" s="18" t="s">
        <v>10</v>
      </c>
      <c r="AL21" s="18" t="s">
        <v>9</v>
      </c>
      <c r="AM21" s="18" t="s">
        <v>10</v>
      </c>
      <c r="AN21" s="18" t="s">
        <v>9</v>
      </c>
      <c r="AO21" s="18" t="s">
        <v>9</v>
      </c>
      <c r="AP21" s="18" t="s">
        <v>9</v>
      </c>
      <c r="AQ21" s="18" t="s">
        <v>17</v>
      </c>
      <c r="AR21" s="18" t="s">
        <v>9</v>
      </c>
      <c r="AS21" s="18" t="s">
        <v>9</v>
      </c>
      <c r="AT21" s="18" t="s">
        <v>17</v>
      </c>
      <c r="AU21" s="18" t="s">
        <v>10</v>
      </c>
      <c r="AV21" s="18" t="s">
        <v>10</v>
      </c>
      <c r="AW21" s="18" t="s">
        <v>9</v>
      </c>
      <c r="AX21" s="18" t="s">
        <v>10</v>
      </c>
      <c r="AY21" s="18" t="s">
        <v>10</v>
      </c>
      <c r="AZ21" s="18" t="s">
        <v>9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/>
      <c r="BV21" s="18"/>
      <c r="BW21" s="18"/>
      <c r="BX21" s="18"/>
      <c r="BY21" s="18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</row>
    <row r="22" customFormat="false" ht="15.75" hidden="false" customHeight="true" outlineLevel="0" collapsed="false">
      <c r="A22" s="41" t="n">
        <v>13</v>
      </c>
      <c r="B22" s="58" t="n">
        <v>26268</v>
      </c>
      <c r="C22" s="59" t="s">
        <v>138</v>
      </c>
      <c r="D22" s="52" t="n">
        <f aca="false">COUNTIF($G22:$BY22,D$9)</f>
        <v>20</v>
      </c>
      <c r="E22" s="17" t="n">
        <f aca="false">COUNTIF($G22:$BY22,E$9)</f>
        <v>40</v>
      </c>
      <c r="F22" s="17" t="n">
        <f aca="false">COUNTIF($G22:$BY22,F$9)</f>
        <v>0</v>
      </c>
      <c r="G22" s="18" t="s">
        <v>9</v>
      </c>
      <c r="H22" s="18" t="s">
        <v>9</v>
      </c>
      <c r="I22" s="18" t="s">
        <v>9</v>
      </c>
      <c r="J22" s="18" t="s">
        <v>9</v>
      </c>
      <c r="K22" s="18" t="s">
        <v>9</v>
      </c>
      <c r="L22" s="18" t="s">
        <v>9</v>
      </c>
      <c r="M22" s="18" t="s">
        <v>9</v>
      </c>
      <c r="N22" s="18" t="s">
        <v>9</v>
      </c>
      <c r="O22" s="18" t="s">
        <v>9</v>
      </c>
      <c r="P22" s="18" t="s">
        <v>9</v>
      </c>
      <c r="Q22" s="18" t="s">
        <v>9</v>
      </c>
      <c r="R22" s="18" t="s">
        <v>9</v>
      </c>
      <c r="S22" s="18" t="s">
        <v>9</v>
      </c>
      <c r="T22" s="18" t="s">
        <v>9</v>
      </c>
      <c r="U22" s="18" t="s">
        <v>9</v>
      </c>
      <c r="V22" s="18" t="s">
        <v>9</v>
      </c>
      <c r="W22" s="18" t="s">
        <v>10</v>
      </c>
      <c r="X22" s="18" t="s">
        <v>9</v>
      </c>
      <c r="Y22" s="18" t="s">
        <v>10</v>
      </c>
      <c r="Z22" s="18" t="s">
        <v>17</v>
      </c>
      <c r="AA22" s="18" t="s">
        <v>17</v>
      </c>
      <c r="AB22" s="18" t="s">
        <v>17</v>
      </c>
      <c r="AC22" s="18" t="s">
        <v>17</v>
      </c>
      <c r="AD22" s="18" t="s">
        <v>10</v>
      </c>
      <c r="AE22" s="18" t="s">
        <v>9</v>
      </c>
      <c r="AF22" s="18" t="s">
        <v>9</v>
      </c>
      <c r="AG22" s="18" t="s">
        <v>9</v>
      </c>
      <c r="AH22" s="18" t="s">
        <v>10</v>
      </c>
      <c r="AI22" s="18" t="s">
        <v>10</v>
      </c>
      <c r="AJ22" s="18" t="s">
        <v>10</v>
      </c>
      <c r="AK22" s="18" t="s">
        <v>10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17</v>
      </c>
      <c r="AR22" s="18" t="s">
        <v>10</v>
      </c>
      <c r="AS22" s="18" t="s">
        <v>10</v>
      </c>
      <c r="AT22" s="18" t="s">
        <v>17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/>
      <c r="BV22" s="18"/>
      <c r="BW22" s="18"/>
      <c r="BX22" s="18"/>
      <c r="BY22" s="18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</row>
    <row r="23" customFormat="false" ht="15.75" hidden="false" customHeight="true" outlineLevel="0" collapsed="false">
      <c r="A23" s="41" t="n">
        <v>14</v>
      </c>
      <c r="B23" s="58" t="n">
        <v>26265</v>
      </c>
      <c r="C23" s="59" t="s">
        <v>139</v>
      </c>
      <c r="D23" s="52" t="n">
        <f aca="false">COUNTIF($G23:$BY23,D$9)</f>
        <v>45</v>
      </c>
      <c r="E23" s="17" t="n">
        <f aca="false">COUNTIF($G23:$BY23,E$9)</f>
        <v>14</v>
      </c>
      <c r="F23" s="17" t="n">
        <f aca="false">COUNTIF($G23:$BY23,F$9)</f>
        <v>1</v>
      </c>
      <c r="G23" s="18" t="s">
        <v>10</v>
      </c>
      <c r="H23" s="18" t="s">
        <v>9</v>
      </c>
      <c r="I23" s="18" t="s">
        <v>9</v>
      </c>
      <c r="J23" s="18" t="s">
        <v>9</v>
      </c>
      <c r="K23" s="18" t="s">
        <v>9</v>
      </c>
      <c r="L23" s="18" t="s">
        <v>9</v>
      </c>
      <c r="M23" s="18" t="s">
        <v>9</v>
      </c>
      <c r="N23" s="18" t="s">
        <v>9</v>
      </c>
      <c r="O23" s="18" t="s">
        <v>9</v>
      </c>
      <c r="P23" s="18" t="s">
        <v>9</v>
      </c>
      <c r="Q23" s="18" t="s">
        <v>9</v>
      </c>
      <c r="R23" s="18" t="s">
        <v>9</v>
      </c>
      <c r="S23" s="18" t="s">
        <v>9</v>
      </c>
      <c r="T23" s="18" t="s">
        <v>9</v>
      </c>
      <c r="U23" s="18" t="s">
        <v>9</v>
      </c>
      <c r="V23" s="18" t="s">
        <v>9</v>
      </c>
      <c r="W23" s="18" t="s">
        <v>9</v>
      </c>
      <c r="X23" s="18" t="s">
        <v>9</v>
      </c>
      <c r="Y23" s="18" t="s">
        <v>10</v>
      </c>
      <c r="Z23" s="18" t="s">
        <v>17</v>
      </c>
      <c r="AA23" s="18" t="s">
        <v>17</v>
      </c>
      <c r="AB23" s="18" t="s">
        <v>17</v>
      </c>
      <c r="AC23" s="18" t="s">
        <v>17</v>
      </c>
      <c r="AD23" s="18" t="s">
        <v>9</v>
      </c>
      <c r="AE23" s="18" t="s">
        <v>9</v>
      </c>
      <c r="AF23" s="18" t="s">
        <v>9</v>
      </c>
      <c r="AG23" s="18" t="s">
        <v>9</v>
      </c>
      <c r="AH23" s="18" t="s">
        <v>10</v>
      </c>
      <c r="AI23" s="18" t="s">
        <v>9</v>
      </c>
      <c r="AJ23" s="18" t="s">
        <v>9</v>
      </c>
      <c r="AK23" s="18" t="s">
        <v>10</v>
      </c>
      <c r="AL23" s="18" t="s">
        <v>9</v>
      </c>
      <c r="AM23" s="18" t="s">
        <v>10</v>
      </c>
      <c r="AN23" s="18" t="s">
        <v>10</v>
      </c>
      <c r="AO23" s="18" t="s">
        <v>9</v>
      </c>
      <c r="AP23" s="18" t="s">
        <v>9</v>
      </c>
      <c r="AQ23" s="18" t="s">
        <v>17</v>
      </c>
      <c r="AR23" s="18" t="s">
        <v>9</v>
      </c>
      <c r="AS23" s="18" t="s">
        <v>9</v>
      </c>
      <c r="AT23" s="18" t="s">
        <v>17</v>
      </c>
      <c r="AU23" s="18" t="s">
        <v>10</v>
      </c>
      <c r="AV23" s="18" t="s">
        <v>9</v>
      </c>
      <c r="AW23" s="18" t="s">
        <v>9</v>
      </c>
      <c r="AX23" s="18" t="s">
        <v>9</v>
      </c>
      <c r="AY23" s="18" t="s">
        <v>9</v>
      </c>
      <c r="AZ23" s="18" t="s">
        <v>10</v>
      </c>
      <c r="BA23" s="18" t="s">
        <v>9</v>
      </c>
      <c r="BB23" s="18" t="s">
        <v>10</v>
      </c>
      <c r="BC23" s="18" t="s">
        <v>9</v>
      </c>
      <c r="BD23" s="18" t="s">
        <v>10</v>
      </c>
      <c r="BE23" s="18" t="s">
        <v>9</v>
      </c>
      <c r="BF23" s="18" t="s">
        <v>9</v>
      </c>
      <c r="BG23" s="18" t="s">
        <v>9</v>
      </c>
      <c r="BH23" s="18" t="s">
        <v>9</v>
      </c>
      <c r="BI23" s="18" t="s">
        <v>9</v>
      </c>
      <c r="BJ23" s="18" t="s">
        <v>9</v>
      </c>
      <c r="BK23" s="18" t="s">
        <v>9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9</v>
      </c>
      <c r="BQ23" s="18" t="s">
        <v>9</v>
      </c>
      <c r="BR23" s="18" t="s">
        <v>9</v>
      </c>
      <c r="BS23" s="18" t="s">
        <v>9</v>
      </c>
      <c r="BT23" s="18" t="s">
        <v>11</v>
      </c>
      <c r="BU23" s="18"/>
      <c r="BV23" s="18"/>
      <c r="BW23" s="18"/>
      <c r="BX23" s="18"/>
      <c r="BY23" s="18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</row>
    <row r="24" customFormat="false" ht="15.75" hidden="false" customHeight="true" outlineLevel="0" collapsed="false">
      <c r="A24" s="41" t="n">
        <v>15</v>
      </c>
      <c r="B24" s="64" t="n">
        <v>26276</v>
      </c>
      <c r="C24" s="59" t="s">
        <v>140</v>
      </c>
      <c r="D24" s="52" t="n">
        <f aca="false">COUNTIF($G24:$BY24,D$9)</f>
        <v>41</v>
      </c>
      <c r="E24" s="17" t="n">
        <f aca="false">COUNTIF($G24:$BY24,E$9)</f>
        <v>16</v>
      </c>
      <c r="F24" s="17" t="n">
        <f aca="false">COUNTIF($G24:$BY24,F$9)</f>
        <v>3</v>
      </c>
      <c r="G24" s="18" t="s">
        <v>10</v>
      </c>
      <c r="H24" s="18" t="s">
        <v>9</v>
      </c>
      <c r="I24" s="18" t="s">
        <v>9</v>
      </c>
      <c r="J24" s="18" t="s">
        <v>9</v>
      </c>
      <c r="K24" s="18" t="s">
        <v>9</v>
      </c>
      <c r="L24" s="18" t="s">
        <v>9</v>
      </c>
      <c r="M24" s="18" t="s">
        <v>9</v>
      </c>
      <c r="N24" s="18" t="s">
        <v>9</v>
      </c>
      <c r="O24" s="18" t="s">
        <v>9</v>
      </c>
      <c r="P24" s="18" t="s">
        <v>9</v>
      </c>
      <c r="Q24" s="18" t="s">
        <v>9</v>
      </c>
      <c r="R24" s="18" t="s">
        <v>9</v>
      </c>
      <c r="S24" s="18" t="s">
        <v>10</v>
      </c>
      <c r="T24" s="18" t="s">
        <v>9</v>
      </c>
      <c r="U24" s="18" t="s">
        <v>10</v>
      </c>
      <c r="V24" s="18" t="s">
        <v>9</v>
      </c>
      <c r="W24" s="18" t="s">
        <v>9</v>
      </c>
      <c r="X24" s="18" t="s">
        <v>9</v>
      </c>
      <c r="Y24" s="18" t="s">
        <v>11</v>
      </c>
      <c r="Z24" s="18" t="s">
        <v>17</v>
      </c>
      <c r="AA24" s="18" t="s">
        <v>17</v>
      </c>
      <c r="AB24" s="18" t="s">
        <v>17</v>
      </c>
      <c r="AC24" s="18" t="s">
        <v>17</v>
      </c>
      <c r="AD24" s="18" t="s">
        <v>9</v>
      </c>
      <c r="AE24" s="18" t="s">
        <v>9</v>
      </c>
      <c r="AF24" s="18" t="s">
        <v>9</v>
      </c>
      <c r="AG24" s="18" t="s">
        <v>10</v>
      </c>
      <c r="AH24" s="18" t="s">
        <v>9</v>
      </c>
      <c r="AI24" s="18" t="s">
        <v>10</v>
      </c>
      <c r="AJ24" s="18" t="s">
        <v>9</v>
      </c>
      <c r="AK24" s="18" t="s">
        <v>9</v>
      </c>
      <c r="AL24" s="18" t="s">
        <v>9</v>
      </c>
      <c r="AM24" s="18" t="s">
        <v>9</v>
      </c>
      <c r="AN24" s="18" t="s">
        <v>9</v>
      </c>
      <c r="AO24" s="18" t="s">
        <v>9</v>
      </c>
      <c r="AP24" s="18" t="s">
        <v>9</v>
      </c>
      <c r="AQ24" s="18" t="s">
        <v>17</v>
      </c>
      <c r="AR24" s="18" t="s">
        <v>10</v>
      </c>
      <c r="AS24" s="18" t="s">
        <v>9</v>
      </c>
      <c r="AT24" s="18" t="s">
        <v>17</v>
      </c>
      <c r="AU24" s="18" t="s">
        <v>10</v>
      </c>
      <c r="AV24" s="18" t="s">
        <v>9</v>
      </c>
      <c r="AW24" s="18" t="s">
        <v>9</v>
      </c>
      <c r="AX24" s="18" t="s">
        <v>9</v>
      </c>
      <c r="AY24" s="18" t="s">
        <v>11</v>
      </c>
      <c r="AZ24" s="18" t="s">
        <v>9</v>
      </c>
      <c r="BA24" s="18" t="s">
        <v>10</v>
      </c>
      <c r="BB24" s="18" t="s">
        <v>10</v>
      </c>
      <c r="BC24" s="18" t="s">
        <v>10</v>
      </c>
      <c r="BD24" s="18" t="s">
        <v>11</v>
      </c>
      <c r="BE24" s="18" t="s">
        <v>10</v>
      </c>
      <c r="BF24" s="18" t="s">
        <v>9</v>
      </c>
      <c r="BG24" s="18" t="s">
        <v>9</v>
      </c>
      <c r="BH24" s="18" t="s">
        <v>9</v>
      </c>
      <c r="BI24" s="18" t="s">
        <v>9</v>
      </c>
      <c r="BJ24" s="18" t="s">
        <v>9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9</v>
      </c>
      <c r="BP24" s="18" t="s">
        <v>9</v>
      </c>
      <c r="BQ24" s="18" t="s">
        <v>10</v>
      </c>
      <c r="BR24" s="18" t="s">
        <v>9</v>
      </c>
      <c r="BS24" s="18" t="s">
        <v>9</v>
      </c>
      <c r="BT24" s="18" t="s">
        <v>9</v>
      </c>
      <c r="BU24" s="18"/>
      <c r="BV24" s="18"/>
      <c r="BW24" s="18"/>
      <c r="BX24" s="18"/>
      <c r="BY24" s="18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</row>
    <row r="25" customFormat="false" ht="15.75" hidden="false" customHeight="true" outlineLevel="0" collapsed="false">
      <c r="A25" s="41" t="n">
        <v>16</v>
      </c>
      <c r="B25" s="61" t="n">
        <v>26274</v>
      </c>
      <c r="C25" s="59" t="s">
        <v>141</v>
      </c>
      <c r="D25" s="52" t="n">
        <f aca="false">COUNTIF($G25:$BY25,D$9)</f>
        <v>46</v>
      </c>
      <c r="E25" s="17" t="n">
        <f aca="false">COUNTIF($G25:$BY25,E$9)</f>
        <v>6</v>
      </c>
      <c r="F25" s="17" t="n">
        <f aca="false">COUNTIF($G25:$BY25,F$9)</f>
        <v>0</v>
      </c>
      <c r="G25" s="18" t="s">
        <v>9</v>
      </c>
      <c r="H25" s="18" t="s">
        <v>9</v>
      </c>
      <c r="I25" s="18" t="s">
        <v>9</v>
      </c>
      <c r="J25" s="18" t="s">
        <v>9</v>
      </c>
      <c r="K25" s="18" t="s">
        <v>9</v>
      </c>
      <c r="L25" s="18" t="s">
        <v>9</v>
      </c>
      <c r="M25" s="18" t="s">
        <v>9</v>
      </c>
      <c r="N25" s="18" t="s">
        <v>9</v>
      </c>
      <c r="O25" s="18" t="s">
        <v>9</v>
      </c>
      <c r="P25" s="18" t="s">
        <v>9</v>
      </c>
      <c r="Q25" s="18" t="s">
        <v>9</v>
      </c>
      <c r="R25" s="18" t="s">
        <v>9</v>
      </c>
      <c r="S25" s="18" t="s">
        <v>9</v>
      </c>
      <c r="T25" s="18" t="s">
        <v>9</v>
      </c>
      <c r="U25" s="18" t="s">
        <v>9</v>
      </c>
      <c r="V25" s="18" t="s">
        <v>9</v>
      </c>
      <c r="W25" s="18" t="s">
        <v>9</v>
      </c>
      <c r="X25" s="18" t="s">
        <v>9</v>
      </c>
      <c r="Y25" s="18" t="s">
        <v>10</v>
      </c>
      <c r="Z25" s="18" t="s">
        <v>17</v>
      </c>
      <c r="AA25" s="18" t="s">
        <v>17</v>
      </c>
      <c r="AB25" s="18" t="s">
        <v>17</v>
      </c>
      <c r="AC25" s="18" t="s">
        <v>17</v>
      </c>
      <c r="AD25" s="18" t="s">
        <v>10</v>
      </c>
      <c r="AE25" s="18" t="s">
        <v>9</v>
      </c>
      <c r="AF25" s="18" t="s">
        <v>9</v>
      </c>
      <c r="AG25" s="18" t="s">
        <v>9</v>
      </c>
      <c r="AH25" s="18" t="s">
        <v>57</v>
      </c>
      <c r="AI25" s="18" t="s">
        <v>57</v>
      </c>
      <c r="AJ25" s="18" t="s">
        <v>57</v>
      </c>
      <c r="AK25" s="18" t="s">
        <v>57</v>
      </c>
      <c r="AL25" s="18" t="s">
        <v>57</v>
      </c>
      <c r="AM25" s="18" t="s">
        <v>57</v>
      </c>
      <c r="AN25" s="18" t="s">
        <v>57</v>
      </c>
      <c r="AO25" s="18" t="s">
        <v>57</v>
      </c>
      <c r="AP25" s="18" t="s">
        <v>9</v>
      </c>
      <c r="AQ25" s="18" t="s">
        <v>17</v>
      </c>
      <c r="AR25" s="18" t="s">
        <v>9</v>
      </c>
      <c r="AS25" s="18" t="s">
        <v>9</v>
      </c>
      <c r="AT25" s="18" t="s">
        <v>17</v>
      </c>
      <c r="AU25" s="18" t="s">
        <v>9</v>
      </c>
      <c r="AV25" s="18" t="s">
        <v>10</v>
      </c>
      <c r="AW25" s="18" t="s">
        <v>9</v>
      </c>
      <c r="AX25" s="18" t="s">
        <v>9</v>
      </c>
      <c r="AY25" s="18" t="s">
        <v>10</v>
      </c>
      <c r="AZ25" s="18" t="s">
        <v>9</v>
      </c>
      <c r="BA25" s="18" t="s">
        <v>9</v>
      </c>
      <c r="BB25" s="18" t="s">
        <v>9</v>
      </c>
      <c r="BC25" s="18" t="s">
        <v>9</v>
      </c>
      <c r="BD25" s="18" t="s">
        <v>10</v>
      </c>
      <c r="BE25" s="18" t="s">
        <v>9</v>
      </c>
      <c r="BF25" s="18" t="s">
        <v>9</v>
      </c>
      <c r="BG25" s="18" t="s">
        <v>9</v>
      </c>
      <c r="BH25" s="18" t="s">
        <v>9</v>
      </c>
      <c r="BI25" s="18" t="s">
        <v>10</v>
      </c>
      <c r="BJ25" s="18" t="s">
        <v>9</v>
      </c>
      <c r="BK25" s="18" t="s">
        <v>9</v>
      </c>
      <c r="BL25" s="18" t="s">
        <v>9</v>
      </c>
      <c r="BM25" s="18" t="s">
        <v>9</v>
      </c>
      <c r="BN25" s="18" t="s">
        <v>9</v>
      </c>
      <c r="BO25" s="18" t="s">
        <v>9</v>
      </c>
      <c r="BP25" s="18" t="s">
        <v>9</v>
      </c>
      <c r="BQ25" s="18" t="s">
        <v>9</v>
      </c>
      <c r="BR25" s="18" t="s">
        <v>9</v>
      </c>
      <c r="BS25" s="18" t="s">
        <v>9</v>
      </c>
      <c r="BT25" s="18" t="s">
        <v>9</v>
      </c>
      <c r="BU25" s="18"/>
      <c r="BV25" s="18"/>
      <c r="BW25" s="18"/>
      <c r="BX25" s="18"/>
      <c r="BY25" s="18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</row>
    <row r="26" customFormat="false" ht="15.75" hidden="false" customHeight="true" outlineLevel="0" collapsed="false">
      <c r="A26" s="41" t="n">
        <v>17</v>
      </c>
      <c r="B26" s="58" t="n">
        <v>26239</v>
      </c>
      <c r="C26" s="59" t="s">
        <v>142</v>
      </c>
      <c r="D26" s="52" t="n">
        <f aca="false">COUNTIF($G26:$BY26,D$9)</f>
        <v>49</v>
      </c>
      <c r="E26" s="17" t="n">
        <f aca="false">COUNTIF($G26:$BY26,E$9)</f>
        <v>9</v>
      </c>
      <c r="F26" s="17" t="n">
        <f aca="false">COUNTIF($G26:$BY26,F$9)</f>
        <v>2</v>
      </c>
      <c r="G26" s="18" t="s">
        <v>9</v>
      </c>
      <c r="H26" s="18" t="s">
        <v>9</v>
      </c>
      <c r="I26" s="18" t="s">
        <v>9</v>
      </c>
      <c r="J26" s="18" t="s">
        <v>9</v>
      </c>
      <c r="K26" s="18" t="s">
        <v>9</v>
      </c>
      <c r="L26" s="18" t="s">
        <v>9</v>
      </c>
      <c r="M26" s="18" t="s">
        <v>9</v>
      </c>
      <c r="N26" s="18" t="s">
        <v>9</v>
      </c>
      <c r="O26" s="18" t="s">
        <v>9</v>
      </c>
      <c r="P26" s="18" t="s">
        <v>9</v>
      </c>
      <c r="Q26" s="18" t="s">
        <v>9</v>
      </c>
      <c r="R26" s="18" t="s">
        <v>9</v>
      </c>
      <c r="S26" s="18" t="s">
        <v>9</v>
      </c>
      <c r="T26" s="18" t="s">
        <v>9</v>
      </c>
      <c r="U26" s="18" t="s">
        <v>9</v>
      </c>
      <c r="V26" s="18" t="s">
        <v>9</v>
      </c>
      <c r="W26" s="18" t="s">
        <v>9</v>
      </c>
      <c r="X26" s="18" t="s">
        <v>9</v>
      </c>
      <c r="Y26" s="18" t="s">
        <v>11</v>
      </c>
      <c r="Z26" s="18" t="s">
        <v>17</v>
      </c>
      <c r="AA26" s="18" t="s">
        <v>17</v>
      </c>
      <c r="AB26" s="18" t="s">
        <v>17</v>
      </c>
      <c r="AC26" s="18" t="s">
        <v>17</v>
      </c>
      <c r="AD26" s="18" t="s">
        <v>10</v>
      </c>
      <c r="AE26" s="18" t="s">
        <v>9</v>
      </c>
      <c r="AF26" s="18" t="s">
        <v>9</v>
      </c>
      <c r="AG26" s="18" t="s">
        <v>9</v>
      </c>
      <c r="AH26" s="18" t="s">
        <v>9</v>
      </c>
      <c r="AI26" s="18" t="s">
        <v>9</v>
      </c>
      <c r="AJ26" s="18" t="s">
        <v>9</v>
      </c>
      <c r="AK26" s="18" t="s">
        <v>9</v>
      </c>
      <c r="AL26" s="18" t="s">
        <v>9</v>
      </c>
      <c r="AM26" s="18" t="s">
        <v>9</v>
      </c>
      <c r="AN26" s="18" t="s">
        <v>9</v>
      </c>
      <c r="AO26" s="18" t="s">
        <v>9</v>
      </c>
      <c r="AP26" s="18" t="s">
        <v>9</v>
      </c>
      <c r="AQ26" s="18" t="s">
        <v>17</v>
      </c>
      <c r="AR26" s="18" t="s">
        <v>9</v>
      </c>
      <c r="AS26" s="18" t="s">
        <v>9</v>
      </c>
      <c r="AT26" s="18" t="s">
        <v>17</v>
      </c>
      <c r="AU26" s="18" t="s">
        <v>9</v>
      </c>
      <c r="AV26" s="18" t="s">
        <v>9</v>
      </c>
      <c r="AW26" s="18" t="s">
        <v>9</v>
      </c>
      <c r="AX26" s="18" t="s">
        <v>9</v>
      </c>
      <c r="AY26" s="18" t="s">
        <v>9</v>
      </c>
      <c r="AZ26" s="18" t="s">
        <v>9</v>
      </c>
      <c r="BA26" s="18" t="s">
        <v>9</v>
      </c>
      <c r="BB26" s="18" t="s">
        <v>9</v>
      </c>
      <c r="BC26" s="18" t="s">
        <v>9</v>
      </c>
      <c r="BD26" s="18" t="s">
        <v>9</v>
      </c>
      <c r="BE26" s="18" t="s">
        <v>9</v>
      </c>
      <c r="BF26" s="18" t="s">
        <v>11</v>
      </c>
      <c r="BG26" s="18" t="s">
        <v>9</v>
      </c>
      <c r="BH26" s="18" t="s">
        <v>9</v>
      </c>
      <c r="BI26" s="18" t="s">
        <v>9</v>
      </c>
      <c r="BJ26" s="18" t="s">
        <v>9</v>
      </c>
      <c r="BK26" s="18" t="s">
        <v>9</v>
      </c>
      <c r="BL26" s="18" t="s">
        <v>9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/>
      <c r="BV26" s="18"/>
      <c r="BW26" s="18"/>
      <c r="BX26" s="18"/>
      <c r="BY26" s="18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</row>
    <row r="27" customFormat="false" ht="15.75" hidden="false" customHeight="true" outlineLevel="0" collapsed="false">
      <c r="A27" s="65" t="n">
        <v>18</v>
      </c>
      <c r="B27" s="66" t="n">
        <v>26264</v>
      </c>
      <c r="C27" s="67" t="s">
        <v>143</v>
      </c>
      <c r="D27" s="68" t="n">
        <f aca="false">COUNTIF($G27:$BY27,D$9)</f>
        <v>20</v>
      </c>
      <c r="E27" s="26" t="n">
        <f aca="false">COUNTIF($G27:$BY27,E$9)</f>
        <v>19</v>
      </c>
      <c r="F27" s="26" t="n">
        <f aca="false">COUNTIF($G27:$BY27,F$9)</f>
        <v>0</v>
      </c>
      <c r="G27" s="29" t="s">
        <v>9</v>
      </c>
      <c r="H27" s="29" t="s">
        <v>9</v>
      </c>
      <c r="I27" s="29" t="s">
        <v>9</v>
      </c>
      <c r="J27" s="29" t="s">
        <v>9</v>
      </c>
      <c r="K27" s="29" t="s">
        <v>9</v>
      </c>
      <c r="L27" s="29" t="s">
        <v>9</v>
      </c>
      <c r="M27" s="29" t="s">
        <v>9</v>
      </c>
      <c r="N27" s="29" t="s">
        <v>9</v>
      </c>
      <c r="O27" s="29" t="s">
        <v>9</v>
      </c>
      <c r="P27" s="29" t="s">
        <v>10</v>
      </c>
      <c r="Q27" s="29" t="s">
        <v>10</v>
      </c>
      <c r="R27" s="29" t="s">
        <v>10</v>
      </c>
      <c r="S27" s="29" t="s">
        <v>10</v>
      </c>
      <c r="T27" s="29" t="s">
        <v>10</v>
      </c>
      <c r="U27" s="29" t="s">
        <v>9</v>
      </c>
      <c r="V27" s="29" t="s">
        <v>9</v>
      </c>
      <c r="W27" s="29" t="s">
        <v>9</v>
      </c>
      <c r="X27" s="29" t="s">
        <v>9</v>
      </c>
      <c r="Y27" s="29" t="s">
        <v>10</v>
      </c>
      <c r="Z27" s="29" t="s">
        <v>17</v>
      </c>
      <c r="AA27" s="29" t="s">
        <v>17</v>
      </c>
      <c r="AB27" s="29" t="s">
        <v>17</v>
      </c>
      <c r="AC27" s="29" t="s">
        <v>17</v>
      </c>
      <c r="AD27" s="29" t="s">
        <v>10</v>
      </c>
      <c r="AE27" s="29" t="s">
        <v>10</v>
      </c>
      <c r="AF27" s="29" t="s">
        <v>9</v>
      </c>
      <c r="AG27" s="29" t="s">
        <v>10</v>
      </c>
      <c r="AH27" s="29" t="s">
        <v>10</v>
      </c>
      <c r="AI27" s="29" t="s">
        <v>9</v>
      </c>
      <c r="AJ27" s="29" t="s">
        <v>10</v>
      </c>
      <c r="AK27" s="29" t="s">
        <v>10</v>
      </c>
      <c r="AL27" s="29" t="s">
        <v>9</v>
      </c>
      <c r="AM27" s="29" t="s">
        <v>9</v>
      </c>
      <c r="AN27" s="29" t="s">
        <v>10</v>
      </c>
      <c r="AO27" s="29" t="s">
        <v>10</v>
      </c>
      <c r="AP27" s="29" t="s">
        <v>9</v>
      </c>
      <c r="AQ27" s="29" t="s">
        <v>17</v>
      </c>
      <c r="AR27" s="29" t="s">
        <v>10</v>
      </c>
      <c r="AS27" s="29" t="s">
        <v>10</v>
      </c>
      <c r="AT27" s="29" t="s">
        <v>17</v>
      </c>
      <c r="AU27" s="29" t="s">
        <v>10</v>
      </c>
      <c r="AV27" s="29" t="s">
        <v>10</v>
      </c>
      <c r="AW27" s="29" t="s">
        <v>9</v>
      </c>
      <c r="AX27" s="29" t="s">
        <v>10</v>
      </c>
      <c r="AY27" s="29" t="s">
        <v>9</v>
      </c>
      <c r="AZ27" s="29" t="s">
        <v>57</v>
      </c>
      <c r="BA27" s="29" t="s">
        <v>57</v>
      </c>
      <c r="BB27" s="29" t="s">
        <v>57</v>
      </c>
      <c r="BC27" s="29" t="s">
        <v>57</v>
      </c>
      <c r="BD27" s="29" t="s">
        <v>57</v>
      </c>
      <c r="BE27" s="29" t="s">
        <v>57</v>
      </c>
      <c r="BF27" s="29" t="s">
        <v>57</v>
      </c>
      <c r="BG27" s="29" t="s">
        <v>57</v>
      </c>
      <c r="BH27" s="29" t="s">
        <v>57</v>
      </c>
      <c r="BI27" s="29" t="s">
        <v>57</v>
      </c>
      <c r="BJ27" s="29" t="s">
        <v>57</v>
      </c>
      <c r="BK27" s="29" t="s">
        <v>57</v>
      </c>
      <c r="BL27" s="29" t="s">
        <v>57</v>
      </c>
      <c r="BM27" s="29" t="s">
        <v>57</v>
      </c>
      <c r="BN27" s="29" t="s">
        <v>57</v>
      </c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</row>
    <row r="28" customFormat="false" ht="13.5" hidden="false" customHeight="true" outlineLevel="0" collapsed="false">
      <c r="A28" s="69" t="n">
        <v>19</v>
      </c>
      <c r="B28" s="70" t="n">
        <v>26269</v>
      </c>
      <c r="C28" s="71" t="s">
        <v>144</v>
      </c>
      <c r="D28" s="69" t="n">
        <f aca="false">COUNTIF($G28:$BY28,D$9)</f>
        <v>21</v>
      </c>
      <c r="E28" s="69" t="n">
        <f aca="false">COUNTIF($G28:$BY28,E$9)</f>
        <v>17</v>
      </c>
      <c r="F28" s="69" t="n">
        <f aca="false">COUNTIF($G28:$BY28,F$9)</f>
        <v>1</v>
      </c>
      <c r="G28" s="48" t="s">
        <v>9</v>
      </c>
      <c r="H28" s="48" t="s">
        <v>9</v>
      </c>
      <c r="I28" s="48" t="s">
        <v>9</v>
      </c>
      <c r="J28" s="48" t="s">
        <v>9</v>
      </c>
      <c r="K28" s="48" t="s">
        <v>9</v>
      </c>
      <c r="L28" s="48" t="s">
        <v>9</v>
      </c>
      <c r="M28" s="48" t="s">
        <v>9</v>
      </c>
      <c r="N28" s="48" t="s">
        <v>9</v>
      </c>
      <c r="O28" s="48" t="s">
        <v>9</v>
      </c>
      <c r="P28" s="48" t="s">
        <v>10</v>
      </c>
      <c r="Q28" s="48" t="s">
        <v>9</v>
      </c>
      <c r="R28" s="48" t="s">
        <v>9</v>
      </c>
      <c r="S28" s="48" t="s">
        <v>10</v>
      </c>
      <c r="T28" s="48" t="s">
        <v>9</v>
      </c>
      <c r="U28" s="48" t="s">
        <v>10</v>
      </c>
      <c r="V28" s="48" t="s">
        <v>10</v>
      </c>
      <c r="W28" s="48" t="s">
        <v>9</v>
      </c>
      <c r="X28" s="48" t="s">
        <v>9</v>
      </c>
      <c r="Y28" s="48" t="s">
        <v>10</v>
      </c>
      <c r="Z28" s="48" t="s">
        <v>17</v>
      </c>
      <c r="AA28" s="48" t="s">
        <v>17</v>
      </c>
      <c r="AB28" s="48" t="s">
        <v>17</v>
      </c>
      <c r="AC28" s="48" t="s">
        <v>17</v>
      </c>
      <c r="AD28" s="48" t="s">
        <v>10</v>
      </c>
      <c r="AE28" s="48" t="s">
        <v>10</v>
      </c>
      <c r="AF28" s="48" t="s">
        <v>9</v>
      </c>
      <c r="AG28" s="48" t="s">
        <v>10</v>
      </c>
      <c r="AH28" s="48" t="s">
        <v>10</v>
      </c>
      <c r="AI28" s="48" t="s">
        <v>9</v>
      </c>
      <c r="AJ28" s="48" t="s">
        <v>10</v>
      </c>
      <c r="AK28" s="48" t="s">
        <v>10</v>
      </c>
      <c r="AL28" s="48" t="s">
        <v>10</v>
      </c>
      <c r="AM28" s="48" t="s">
        <v>9</v>
      </c>
      <c r="AN28" s="48" t="s">
        <v>10</v>
      </c>
      <c r="AO28" s="48" t="s">
        <v>10</v>
      </c>
      <c r="AP28" s="48" t="s">
        <v>9</v>
      </c>
      <c r="AQ28" s="48" t="s">
        <v>17</v>
      </c>
      <c r="AR28" s="48" t="s">
        <v>11</v>
      </c>
      <c r="AS28" s="48" t="s">
        <v>9</v>
      </c>
      <c r="AT28" s="48" t="s">
        <v>17</v>
      </c>
      <c r="AU28" s="48" t="s">
        <v>10</v>
      </c>
      <c r="AV28" s="48" t="s">
        <v>10</v>
      </c>
      <c r="AW28" s="48" t="s">
        <v>9</v>
      </c>
      <c r="AX28" s="48" t="s">
        <v>10</v>
      </c>
      <c r="AY28" s="48" t="s">
        <v>9</v>
      </c>
      <c r="AZ28" s="48" t="s">
        <v>57</v>
      </c>
      <c r="BA28" s="48" t="s">
        <v>57</v>
      </c>
      <c r="BB28" s="48" t="s">
        <v>57</v>
      </c>
      <c r="BC28" s="48" t="s">
        <v>57</v>
      </c>
      <c r="BD28" s="29" t="s">
        <v>57</v>
      </c>
      <c r="BE28" s="29" t="s">
        <v>57</v>
      </c>
      <c r="BF28" s="29" t="s">
        <v>57</v>
      </c>
      <c r="BG28" s="29" t="s">
        <v>57</v>
      </c>
      <c r="BH28" s="29" t="s">
        <v>57</v>
      </c>
      <c r="BI28" s="29" t="s">
        <v>57</v>
      </c>
      <c r="BJ28" s="29" t="s">
        <v>57</v>
      </c>
      <c r="BK28" s="29" t="s">
        <v>57</v>
      </c>
      <c r="BL28" s="29" t="s">
        <v>57</v>
      </c>
      <c r="BM28" s="29" t="s">
        <v>57</v>
      </c>
      <c r="BN28" s="29" t="s">
        <v>57</v>
      </c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</row>
    <row r="29" customFormat="false" ht="15.75" hidden="false" customHeight="true" outlineLevel="0" collapsed="false">
      <c r="A29" s="73" t="n">
        <v>20</v>
      </c>
      <c r="B29" s="74" t="n">
        <v>26272</v>
      </c>
      <c r="C29" s="75" t="s">
        <v>145</v>
      </c>
      <c r="D29" s="76" t="n">
        <f aca="false">COUNTIF($G29:$BY29,D$9)</f>
        <v>59</v>
      </c>
      <c r="E29" s="77" t="n">
        <f aca="false">COUNTIF($G29:$BY29,E$9)</f>
        <v>1</v>
      </c>
      <c r="F29" s="78" t="n">
        <f aca="false">COUNTIF($G29:$BY29,F$9)</f>
        <v>0</v>
      </c>
      <c r="G29" s="79" t="s">
        <v>9</v>
      </c>
      <c r="H29" s="79" t="s">
        <v>9</v>
      </c>
      <c r="I29" s="79" t="s">
        <v>9</v>
      </c>
      <c r="J29" s="79" t="s">
        <v>9</v>
      </c>
      <c r="K29" s="79" t="s">
        <v>9</v>
      </c>
      <c r="L29" s="79" t="s">
        <v>9</v>
      </c>
      <c r="M29" s="79" t="s">
        <v>9</v>
      </c>
      <c r="N29" s="79" t="s">
        <v>9</v>
      </c>
      <c r="O29" s="79" t="s">
        <v>9</v>
      </c>
      <c r="P29" s="79" t="s">
        <v>9</v>
      </c>
      <c r="Q29" s="79" t="s">
        <v>9</v>
      </c>
      <c r="R29" s="79" t="s">
        <v>9</v>
      </c>
      <c r="S29" s="79" t="s">
        <v>9</v>
      </c>
      <c r="T29" s="79" t="s">
        <v>9</v>
      </c>
      <c r="U29" s="79" t="s">
        <v>9</v>
      </c>
      <c r="V29" s="79" t="s">
        <v>9</v>
      </c>
      <c r="W29" s="79" t="s">
        <v>9</v>
      </c>
      <c r="X29" s="79" t="s">
        <v>9</v>
      </c>
      <c r="Y29" s="79" t="s">
        <v>9</v>
      </c>
      <c r="Z29" s="79" t="s">
        <v>17</v>
      </c>
      <c r="AA29" s="79" t="s">
        <v>17</v>
      </c>
      <c r="AB29" s="79" t="s">
        <v>17</v>
      </c>
      <c r="AC29" s="79" t="s">
        <v>17</v>
      </c>
      <c r="AD29" s="79" t="s">
        <v>9</v>
      </c>
      <c r="AE29" s="79" t="s">
        <v>9</v>
      </c>
      <c r="AF29" s="79" t="s">
        <v>9</v>
      </c>
      <c r="AG29" s="79" t="s">
        <v>9</v>
      </c>
      <c r="AH29" s="79" t="s">
        <v>9</v>
      </c>
      <c r="AI29" s="72" t="s">
        <v>9</v>
      </c>
      <c r="AJ29" s="72" t="s">
        <v>9</v>
      </c>
      <c r="AK29" s="72" t="s">
        <v>9</v>
      </c>
      <c r="AL29" s="72" t="s">
        <v>9</v>
      </c>
      <c r="AM29" s="72" t="s">
        <v>9</v>
      </c>
      <c r="AN29" s="72" t="s">
        <v>9</v>
      </c>
      <c r="AO29" s="72" t="s">
        <v>9</v>
      </c>
      <c r="AP29" s="72" t="s">
        <v>9</v>
      </c>
      <c r="AQ29" s="72" t="s">
        <v>17</v>
      </c>
      <c r="AR29" s="72" t="s">
        <v>9</v>
      </c>
      <c r="AS29" s="72" t="s">
        <v>9</v>
      </c>
      <c r="AT29" s="72" t="s">
        <v>17</v>
      </c>
      <c r="AU29" s="72" t="s">
        <v>9</v>
      </c>
      <c r="AV29" s="72" t="s">
        <v>9</v>
      </c>
      <c r="AW29" s="72" t="s">
        <v>9</v>
      </c>
      <c r="AX29" s="72" t="s">
        <v>9</v>
      </c>
      <c r="AY29" s="72" t="s">
        <v>9</v>
      </c>
      <c r="AZ29" s="72" t="s">
        <v>9</v>
      </c>
      <c r="BA29" s="72" t="s">
        <v>9</v>
      </c>
      <c r="BB29" s="72" t="s">
        <v>9</v>
      </c>
      <c r="BC29" s="72" t="s">
        <v>9</v>
      </c>
      <c r="BD29" s="72" t="s">
        <v>9</v>
      </c>
      <c r="BE29" s="72" t="s">
        <v>9</v>
      </c>
      <c r="BF29" s="72" t="s">
        <v>9</v>
      </c>
      <c r="BG29" s="72" t="s">
        <v>10</v>
      </c>
      <c r="BH29" s="72" t="s">
        <v>9</v>
      </c>
      <c r="BI29" s="72" t="s">
        <v>9</v>
      </c>
      <c r="BJ29" s="72" t="s">
        <v>9</v>
      </c>
      <c r="BK29" s="72" t="s">
        <v>9</v>
      </c>
      <c r="BL29" s="72" t="s">
        <v>9</v>
      </c>
      <c r="BM29" s="72" t="s">
        <v>9</v>
      </c>
      <c r="BN29" s="72" t="s">
        <v>9</v>
      </c>
      <c r="BO29" s="72" t="s">
        <v>9</v>
      </c>
      <c r="BP29" s="72" t="s">
        <v>9</v>
      </c>
      <c r="BQ29" s="72" t="s">
        <v>9</v>
      </c>
      <c r="BR29" s="72" t="s">
        <v>9</v>
      </c>
      <c r="BS29" s="72" t="s">
        <v>9</v>
      </c>
      <c r="BT29" s="72" t="s">
        <v>9</v>
      </c>
      <c r="BU29" s="72"/>
      <c r="BV29" s="72"/>
      <c r="BW29" s="72"/>
      <c r="BX29" s="72"/>
      <c r="BY29" s="7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</row>
    <row r="30" customFormat="false" ht="18" hidden="false" customHeight="true" outlineLevel="0" collapsed="false">
      <c r="A30" s="80" t="n">
        <v>21</v>
      </c>
      <c r="B30" s="81" t="n">
        <v>26251</v>
      </c>
      <c r="C30" s="67" t="s">
        <v>146</v>
      </c>
      <c r="D30" s="82" t="n">
        <f aca="false">COUNTIF($G30:$BY30,D$9)</f>
        <v>39</v>
      </c>
      <c r="E30" s="80" t="n">
        <f aca="false">COUNTIF($G30:$BY30,E$9)</f>
        <v>0</v>
      </c>
      <c r="F30" s="83" t="n">
        <f aca="false">COUNTIF($G30:$BY30,F$9)</f>
        <v>0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 t="s">
        <v>9</v>
      </c>
      <c r="AG30" s="84" t="s">
        <v>9</v>
      </c>
      <c r="AH30" s="84" t="s">
        <v>9</v>
      </c>
      <c r="AI30" s="84" t="s">
        <v>9</v>
      </c>
      <c r="AJ30" s="84" t="s">
        <v>9</v>
      </c>
      <c r="AK30" s="84" t="s">
        <v>9</v>
      </c>
      <c r="AL30" s="84" t="s">
        <v>9</v>
      </c>
      <c r="AM30" s="84" t="s">
        <v>9</v>
      </c>
      <c r="AN30" s="84" t="s">
        <v>9</v>
      </c>
      <c r="AO30" s="84" t="s">
        <v>9</v>
      </c>
      <c r="AP30" s="84" t="s">
        <v>9</v>
      </c>
      <c r="AQ30" s="84" t="s">
        <v>17</v>
      </c>
      <c r="AR30" s="84" t="s">
        <v>9</v>
      </c>
      <c r="AS30" s="84" t="s">
        <v>9</v>
      </c>
      <c r="AT30" s="84" t="s">
        <v>17</v>
      </c>
      <c r="AU30" s="84" t="s">
        <v>9</v>
      </c>
      <c r="AV30" s="84" t="s">
        <v>9</v>
      </c>
      <c r="AW30" s="84" t="s">
        <v>9</v>
      </c>
      <c r="AX30" s="84" t="s">
        <v>9</v>
      </c>
      <c r="AY30" s="84" t="s">
        <v>9</v>
      </c>
      <c r="AZ30" s="84" t="s">
        <v>9</v>
      </c>
      <c r="BA30" s="84" t="s">
        <v>9</v>
      </c>
      <c r="BB30" s="84" t="s">
        <v>9</v>
      </c>
      <c r="BC30" s="84" t="s">
        <v>9</v>
      </c>
      <c r="BD30" s="84" t="s">
        <v>9</v>
      </c>
      <c r="BE30" s="84" t="s">
        <v>9</v>
      </c>
      <c r="BF30" s="84" t="s">
        <v>9</v>
      </c>
      <c r="BG30" s="84" t="s">
        <v>9</v>
      </c>
      <c r="BH30" s="84" t="s">
        <v>9</v>
      </c>
      <c r="BI30" s="84" t="s">
        <v>9</v>
      </c>
      <c r="BJ30" s="84" t="s">
        <v>9</v>
      </c>
      <c r="BK30" s="84" t="s">
        <v>9</v>
      </c>
      <c r="BL30" s="84" t="s">
        <v>9</v>
      </c>
      <c r="BM30" s="84" t="s">
        <v>9</v>
      </c>
      <c r="BN30" s="84" t="s">
        <v>9</v>
      </c>
      <c r="BO30" s="84" t="s">
        <v>9</v>
      </c>
      <c r="BP30" s="84" t="s">
        <v>9</v>
      </c>
      <c r="BQ30" s="84" t="s">
        <v>9</v>
      </c>
      <c r="BR30" s="84" t="s">
        <v>9</v>
      </c>
      <c r="BS30" s="84" t="s">
        <v>9</v>
      </c>
      <c r="BT30" s="84" t="s">
        <v>9</v>
      </c>
      <c r="BU30" s="84"/>
      <c r="BV30" s="84"/>
      <c r="BW30" s="84"/>
      <c r="BX30" s="84"/>
      <c r="BY30" s="84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</row>
    <row r="31" customFormat="false" ht="18" hidden="false" customHeight="true" outlineLevel="0" collapsed="false">
      <c r="A31" s="85" t="n">
        <v>22</v>
      </c>
      <c r="B31" s="86" t="n">
        <v>26322</v>
      </c>
      <c r="C31" s="87" t="s">
        <v>147</v>
      </c>
      <c r="D31" s="85" t="n">
        <f aca="false">COUNTIF($G31:$BY31,D$9)</f>
        <v>19</v>
      </c>
      <c r="E31" s="85" t="n">
        <f aca="false">COUNTIF($G31:$BY31,E$9)</f>
        <v>14</v>
      </c>
      <c r="F31" s="88" t="n">
        <f aca="false">COUNTIF($G31:$BY31,F$9)</f>
        <v>0</v>
      </c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 t="s">
        <v>9</v>
      </c>
      <c r="AM31" s="89" t="s">
        <v>9</v>
      </c>
      <c r="AN31" s="89" t="s">
        <v>9</v>
      </c>
      <c r="AO31" s="89" t="s">
        <v>9</v>
      </c>
      <c r="AP31" s="89" t="s">
        <v>9</v>
      </c>
      <c r="AQ31" s="89" t="s">
        <v>17</v>
      </c>
      <c r="AR31" s="89" t="s">
        <v>9</v>
      </c>
      <c r="AS31" s="89" t="s">
        <v>9</v>
      </c>
      <c r="AT31" s="89" t="s">
        <v>17</v>
      </c>
      <c r="AU31" s="89" t="s">
        <v>10</v>
      </c>
      <c r="AV31" s="89" t="s">
        <v>9</v>
      </c>
      <c r="AW31" s="89" t="s">
        <v>10</v>
      </c>
      <c r="AX31" s="89" t="s">
        <v>10</v>
      </c>
      <c r="AY31" s="89" t="s">
        <v>10</v>
      </c>
      <c r="AZ31" s="89" t="s">
        <v>9</v>
      </c>
      <c r="BA31" s="89" t="s">
        <v>9</v>
      </c>
      <c r="BB31" s="89" t="s">
        <v>10</v>
      </c>
      <c r="BC31" s="89" t="s">
        <v>9</v>
      </c>
      <c r="BD31" s="89" t="s">
        <v>10</v>
      </c>
      <c r="BE31" s="89" t="s">
        <v>9</v>
      </c>
      <c r="BF31" s="89" t="s">
        <v>10</v>
      </c>
      <c r="BG31" s="89" t="s">
        <v>10</v>
      </c>
      <c r="BH31" s="89" t="s">
        <v>10</v>
      </c>
      <c r="BI31" s="89" t="s">
        <v>10</v>
      </c>
      <c r="BJ31" s="89" t="s">
        <v>9</v>
      </c>
      <c r="BK31" s="89" t="s">
        <v>9</v>
      </c>
      <c r="BL31" s="89" t="s">
        <v>10</v>
      </c>
      <c r="BM31" s="89" t="s">
        <v>9</v>
      </c>
      <c r="BN31" s="89" t="s">
        <v>9</v>
      </c>
      <c r="BO31" s="89" t="s">
        <v>9</v>
      </c>
      <c r="BP31" s="89" t="s">
        <v>9</v>
      </c>
      <c r="BQ31" s="89" t="s">
        <v>9</v>
      </c>
      <c r="BR31" s="89" t="s">
        <v>10</v>
      </c>
      <c r="BS31" s="89" t="s">
        <v>10</v>
      </c>
      <c r="BT31" s="89" t="s">
        <v>10</v>
      </c>
      <c r="BU31" s="89"/>
      <c r="BV31" s="89"/>
      <c r="BW31" s="89"/>
      <c r="BX31" s="89"/>
      <c r="BY31" s="89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</row>
    <row r="32" customFormat="false" ht="18" hidden="false" customHeight="true" outlineLevel="0" collapsed="false">
      <c r="A32" s="90" t="n">
        <v>23</v>
      </c>
      <c r="B32" s="91"/>
      <c r="C32" s="92" t="s">
        <v>148</v>
      </c>
      <c r="D32" s="90" t="n">
        <f aca="false">COUNTIF($G32:$BY32,D$9)</f>
        <v>26</v>
      </c>
      <c r="E32" s="90" t="n">
        <f aca="false">COUNTIF($G32:$BY32,E$9)</f>
        <v>8</v>
      </c>
      <c r="F32" s="93" t="n">
        <f aca="false">COUNTIF($G32:$BY32,F$9)</f>
        <v>0</v>
      </c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 t="s">
        <v>9</v>
      </c>
      <c r="AL32" s="94" t="s">
        <v>9</v>
      </c>
      <c r="AM32" s="94" t="s">
        <v>9</v>
      </c>
      <c r="AN32" s="94" t="s">
        <v>9</v>
      </c>
      <c r="AO32" s="94" t="s">
        <v>9</v>
      </c>
      <c r="AP32" s="94" t="s">
        <v>9</v>
      </c>
      <c r="AQ32" s="94" t="s">
        <v>17</v>
      </c>
      <c r="AR32" s="94" t="s">
        <v>9</v>
      </c>
      <c r="AS32" s="94" t="s">
        <v>9</v>
      </c>
      <c r="AT32" s="94" t="s">
        <v>17</v>
      </c>
      <c r="AU32" s="94" t="s">
        <v>9</v>
      </c>
      <c r="AV32" s="94" t="s">
        <v>10</v>
      </c>
      <c r="AW32" s="94" t="s">
        <v>9</v>
      </c>
      <c r="AX32" s="94" t="s">
        <v>9</v>
      </c>
      <c r="AY32" s="94" t="s">
        <v>9</v>
      </c>
      <c r="AZ32" s="94" t="s">
        <v>9</v>
      </c>
      <c r="BA32" s="94" t="s">
        <v>9</v>
      </c>
      <c r="BB32" s="94" t="s">
        <v>9</v>
      </c>
      <c r="BC32" s="94" t="s">
        <v>10</v>
      </c>
      <c r="BD32" s="94" t="s">
        <v>9</v>
      </c>
      <c r="BE32" s="94" t="s">
        <v>9</v>
      </c>
      <c r="BF32" s="94" t="s">
        <v>9</v>
      </c>
      <c r="BG32" s="94" t="s">
        <v>9</v>
      </c>
      <c r="BH32" s="94" t="s">
        <v>10</v>
      </c>
      <c r="BI32" s="94" t="s">
        <v>10</v>
      </c>
      <c r="BJ32" s="94" t="s">
        <v>10</v>
      </c>
      <c r="BK32" s="94" t="s">
        <v>10</v>
      </c>
      <c r="BL32" s="94" t="s">
        <v>9</v>
      </c>
      <c r="BM32" s="94" t="s">
        <v>9</v>
      </c>
      <c r="BN32" s="94" t="s">
        <v>9</v>
      </c>
      <c r="BO32" s="94" t="s">
        <v>9</v>
      </c>
      <c r="BP32" s="94" t="s">
        <v>9</v>
      </c>
      <c r="BQ32" s="94" t="s">
        <v>9</v>
      </c>
      <c r="BR32" s="94" t="s">
        <v>9</v>
      </c>
      <c r="BS32" s="94" t="s">
        <v>10</v>
      </c>
      <c r="BT32" s="94" t="s">
        <v>10</v>
      </c>
      <c r="BU32" s="94"/>
      <c r="BV32" s="94"/>
      <c r="BW32" s="94"/>
      <c r="BX32" s="94"/>
      <c r="BY32" s="94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10:BY32" type="list">
      <formula1>"P,A,E,OFF DAY,BATCH CHANGED"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7:BY7" type="list">
      <formula1>"SHAKIL,JIHAD,MAM,NAZRUL ISLAM,SHOFIQUL ISLAM"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1"/>
    <col collapsed="false" customWidth="true" hidden="false" outlineLevel="0" max="3" min="3" style="0" width="27.38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12</v>
      </c>
      <c r="G2" s="3" t="s">
        <v>149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46151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46277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72</v>
      </c>
      <c r="H7" s="9" t="s">
        <v>72</v>
      </c>
      <c r="I7" s="9" t="s">
        <v>72</v>
      </c>
      <c r="J7" s="9" t="s">
        <v>72</v>
      </c>
      <c r="K7" s="9" t="s">
        <v>72</v>
      </c>
      <c r="L7" s="9" t="s">
        <v>72</v>
      </c>
      <c r="M7" s="9" t="s">
        <v>72</v>
      </c>
      <c r="N7" s="9" t="s">
        <v>72</v>
      </c>
      <c r="O7" s="9" t="s">
        <v>72</v>
      </c>
      <c r="P7" s="9" t="s">
        <v>72</v>
      </c>
      <c r="Q7" s="9" t="s">
        <v>72</v>
      </c>
      <c r="R7" s="9" t="s">
        <v>72</v>
      </c>
      <c r="S7" s="9" t="s">
        <v>72</v>
      </c>
      <c r="T7" s="9" t="s">
        <v>72</v>
      </c>
      <c r="U7" s="9" t="s">
        <v>15</v>
      </c>
      <c r="V7" s="9" t="s">
        <v>72</v>
      </c>
      <c r="W7" s="9" t="s">
        <v>72</v>
      </c>
      <c r="X7" s="9" t="s">
        <v>72</v>
      </c>
      <c r="Y7" s="9" t="s">
        <v>72</v>
      </c>
      <c r="Z7" s="9" t="s">
        <v>72</v>
      </c>
      <c r="AA7" s="9" t="s">
        <v>72</v>
      </c>
      <c r="AB7" s="9" t="s">
        <v>72</v>
      </c>
      <c r="AC7" s="9" t="s">
        <v>72</v>
      </c>
      <c r="AD7" s="9" t="s">
        <v>72</v>
      </c>
      <c r="AE7" s="9" t="s">
        <v>72</v>
      </c>
      <c r="AF7" s="9" t="s">
        <v>72</v>
      </c>
      <c r="AG7" s="9" t="s">
        <v>72</v>
      </c>
      <c r="AH7" s="9" t="s">
        <v>5</v>
      </c>
      <c r="AI7" s="9" t="s">
        <v>72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72</v>
      </c>
      <c r="AO7" s="9" t="s">
        <v>5</v>
      </c>
      <c r="AP7" s="9" t="s">
        <v>72</v>
      </c>
      <c r="AQ7" s="9" t="s">
        <v>125</v>
      </c>
      <c r="AR7" s="9" t="s">
        <v>150</v>
      </c>
      <c r="AS7" s="9" t="s">
        <v>150</v>
      </c>
      <c r="AT7" s="9" t="s">
        <v>150</v>
      </c>
      <c r="AU7" s="9" t="s">
        <v>150</v>
      </c>
      <c r="AV7" s="9" t="s">
        <v>150</v>
      </c>
      <c r="AW7" s="9" t="s">
        <v>150</v>
      </c>
      <c r="AX7" s="9" t="s">
        <v>150</v>
      </c>
      <c r="AY7" s="9" t="s">
        <v>150</v>
      </c>
      <c r="AZ7" s="9" t="s">
        <v>150</v>
      </c>
      <c r="BA7" s="9" t="s">
        <v>150</v>
      </c>
      <c r="BB7" s="9" t="s">
        <v>150</v>
      </c>
      <c r="BC7" s="9" t="s">
        <v>150</v>
      </c>
      <c r="BD7" s="9" t="s">
        <v>150</v>
      </c>
      <c r="BE7" s="9" t="s">
        <v>150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Sat</v>
      </c>
      <c r="H8" s="10" t="str">
        <f aca="false">TEXT(H9,"DDD")</f>
        <v>Mon</v>
      </c>
      <c r="I8" s="10" t="str">
        <f aca="false">TEXT(I9,"DDD")</f>
        <v>Wed</v>
      </c>
      <c r="J8" s="10" t="str">
        <f aca="false">TEXT(J9,"DDD")</f>
        <v>Sat</v>
      </c>
      <c r="K8" s="10" t="str">
        <f aca="false">TEXT(K9,"DDD")</f>
        <v>Mon</v>
      </c>
      <c r="L8" s="10" t="str">
        <f aca="false">TEXT(L9,"DDD")</f>
        <v>Wed</v>
      </c>
      <c r="M8" s="10" t="str">
        <f aca="false">TEXT(M9,"DDD")</f>
        <v>Sat</v>
      </c>
      <c r="N8" s="10" t="str">
        <f aca="false">TEXT(N9,"DDD")</f>
        <v>Mon</v>
      </c>
      <c r="O8" s="10" t="str">
        <f aca="false">TEXT(O9,"DDD")</f>
        <v>Wed</v>
      </c>
      <c r="P8" s="10" t="str">
        <f aca="false">TEXT(P9,"DDD")</f>
        <v>Sat</v>
      </c>
      <c r="Q8" s="10" t="str">
        <f aca="false">TEXT(Q9,"DDD")</f>
        <v>Mon</v>
      </c>
      <c r="R8" s="10" t="str">
        <f aca="false">TEXT(R9,"DDD")</f>
        <v>Wed</v>
      </c>
      <c r="S8" s="10" t="str">
        <f aca="false">TEXT(S9,"DDD")</f>
        <v>Sat</v>
      </c>
      <c r="T8" s="10" t="str">
        <f aca="false">TEXT(T9,"DDD")</f>
        <v>Mon</v>
      </c>
      <c r="U8" s="10" t="str">
        <f aca="false">TEXT(U9,"DDD")</f>
        <v>Wed</v>
      </c>
      <c r="V8" s="10" t="str">
        <f aca="false">TEXT(V9,"DDD")</f>
        <v>Sat</v>
      </c>
      <c r="W8" s="10" t="str">
        <f aca="false">TEXT(W9,"DDD")</f>
        <v>Mon</v>
      </c>
      <c r="X8" s="10" t="str">
        <f aca="false">TEXT(X9,"DDD")</f>
        <v>Wed</v>
      </c>
      <c r="Y8" s="10" t="str">
        <f aca="false">TEXT(Y9,"DDD")</f>
        <v>Sat</v>
      </c>
      <c r="Z8" s="10" t="str">
        <f aca="false">TEXT(Z9,"DDD")</f>
        <v>Mon</v>
      </c>
      <c r="AA8" s="10" t="str">
        <f aca="false">TEXT(AA9,"DDD")</f>
        <v>Wed</v>
      </c>
      <c r="AB8" s="10" t="str">
        <f aca="false">TEXT(AB9,"DDD")</f>
        <v>Sat</v>
      </c>
      <c r="AC8" s="10" t="str">
        <f aca="false">TEXT(AC9,"DDD")</f>
        <v>Mon</v>
      </c>
      <c r="AD8" s="10" t="str">
        <f aca="false">TEXT(AD9,"DDD")</f>
        <v>Wed</v>
      </c>
      <c r="AE8" s="10" t="str">
        <f aca="false">TEXT(AE9,"DDD")</f>
        <v>Sat</v>
      </c>
      <c r="AF8" s="10" t="str">
        <f aca="false">TEXT(AF9,"DDD")</f>
        <v>Mon</v>
      </c>
      <c r="AG8" s="10" t="str">
        <f aca="false">TEXT(AG9,"DDD")</f>
        <v>Wed</v>
      </c>
      <c r="AH8" s="10" t="str">
        <f aca="false">TEXT(AH9,"DDD")</f>
        <v>Sat</v>
      </c>
      <c r="AI8" s="10" t="str">
        <f aca="false">TEXT(AI9,"DDD")</f>
        <v>Mon</v>
      </c>
      <c r="AJ8" s="10" t="str">
        <f aca="false">TEXT(AJ9,"DDD")</f>
        <v>Wed</v>
      </c>
      <c r="AK8" s="10" t="str">
        <f aca="false">TEXT(AK9,"DDD")</f>
        <v>Sat</v>
      </c>
      <c r="AL8" s="10" t="str">
        <f aca="false">TEXT(AL9,"DDD")</f>
        <v>Mon</v>
      </c>
      <c r="AM8" s="10" t="str">
        <f aca="false">TEXT(AM9,"DDD")</f>
        <v>Wed</v>
      </c>
      <c r="AN8" s="10" t="str">
        <f aca="false">TEXT(AN9,"DDD")</f>
        <v>Sat</v>
      </c>
      <c r="AO8" s="10" t="str">
        <f aca="false">TEXT(AO9,"DDD")</f>
        <v>Mon</v>
      </c>
      <c r="AP8" s="10" t="str">
        <f aca="false">TEXT(AP9,"DDD")</f>
        <v>Wed</v>
      </c>
      <c r="AQ8" s="10" t="str">
        <f aca="false">TEXT(AQ9,"DDD")</f>
        <v>Sat</v>
      </c>
      <c r="AR8" s="10" t="str">
        <f aca="false">TEXT(AR9,"DDD")</f>
        <v>Mon</v>
      </c>
      <c r="AS8" s="10" t="str">
        <f aca="false">TEXT(AS9,"DDD")</f>
        <v>Wed</v>
      </c>
      <c r="AT8" s="10" t="str">
        <f aca="false">TEXT(AT9,"DDD")</f>
        <v>Sat</v>
      </c>
      <c r="AU8" s="10" t="str">
        <f aca="false">TEXT(AU9,"DDD")</f>
        <v>Mon</v>
      </c>
      <c r="AV8" s="10" t="str">
        <f aca="false">TEXT(AV9,"DDD")</f>
        <v>Wed</v>
      </c>
      <c r="AW8" s="10" t="str">
        <f aca="false">TEXT(AW9,"DDD")</f>
        <v>Sat</v>
      </c>
      <c r="AX8" s="10" t="str">
        <f aca="false">TEXT(AX9,"DDD")</f>
        <v>Mon</v>
      </c>
      <c r="AY8" s="10" t="str">
        <f aca="false">TEXT(AY9,"DDD")</f>
        <v>Wed</v>
      </c>
      <c r="AZ8" s="10" t="str">
        <f aca="false">TEXT(AZ9,"DDD")</f>
        <v>Sat</v>
      </c>
      <c r="BA8" s="10" t="str">
        <f aca="false">TEXT(BA9,"DDD")</f>
        <v>Mon</v>
      </c>
      <c r="BB8" s="10" t="str">
        <f aca="false">TEXT(BB9,"DDD")</f>
        <v>Wed</v>
      </c>
      <c r="BC8" s="10" t="str">
        <f aca="false">TEXT(BC9,"DDD")</f>
        <v>Sat</v>
      </c>
      <c r="BD8" s="10" t="str">
        <f aca="false">TEXT(BD9,"DDD")</f>
        <v>Mon</v>
      </c>
      <c r="BE8" s="10" t="str">
        <f aca="false">TEXT(BE9,"DDD")</f>
        <v>Wed</v>
      </c>
      <c r="BF8" s="10" t="str">
        <f aca="false">TEXT(BF9,"DDD")</f>
        <v>Sat</v>
      </c>
      <c r="BG8" s="10" t="str">
        <f aca="false">TEXT(BG9,"DDD")</f>
        <v>Mon</v>
      </c>
      <c r="BH8" s="10" t="str">
        <f aca="false">TEXT(BH9,"DDD")</f>
        <v>Wed</v>
      </c>
      <c r="BI8" s="10" t="str">
        <f aca="false">TEXT(BI9,"DDD")</f>
        <v>Sat</v>
      </c>
      <c r="BJ8" s="10" t="str">
        <f aca="false">TEXT(BJ9,"DDD")</f>
        <v>Mon</v>
      </c>
      <c r="BK8" s="10" t="str">
        <f aca="false">TEXT(BK9,"DDD")</f>
        <v>Wed</v>
      </c>
      <c r="BL8" s="10" t="str">
        <f aca="false">TEXT(BL9,"DDD")</f>
        <v>Sat</v>
      </c>
      <c r="BM8" s="10" t="str">
        <f aca="false">TEXT(BM9,"DDD")</f>
        <v>Mon</v>
      </c>
      <c r="BN8" s="10" t="str">
        <f aca="false">TEXT(BN9,"DDD")</f>
        <v>Wed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46151</v>
      </c>
      <c r="H9" s="15" t="n">
        <f aca="false">G9+2</f>
        <v>46153</v>
      </c>
      <c r="I9" s="15" t="n">
        <f aca="false">H9+2</f>
        <v>46155</v>
      </c>
      <c r="J9" s="15" t="n">
        <f aca="false">I9+3</f>
        <v>46158</v>
      </c>
      <c r="K9" s="15" t="n">
        <f aca="false">J9+2</f>
        <v>46160</v>
      </c>
      <c r="L9" s="15" t="n">
        <f aca="false">K9+2</f>
        <v>46162</v>
      </c>
      <c r="M9" s="15" t="n">
        <f aca="false">L9+3</f>
        <v>46165</v>
      </c>
      <c r="N9" s="15" t="n">
        <f aca="false">M9+2</f>
        <v>46167</v>
      </c>
      <c r="O9" s="15" t="n">
        <f aca="false">N9+2</f>
        <v>46169</v>
      </c>
      <c r="P9" s="15" t="n">
        <f aca="false">O9+3</f>
        <v>46172</v>
      </c>
      <c r="Q9" s="15" t="n">
        <f aca="false">P9+2</f>
        <v>46174</v>
      </c>
      <c r="R9" s="15" t="n">
        <f aca="false">Q9+2</f>
        <v>46176</v>
      </c>
      <c r="S9" s="15" t="n">
        <f aca="false">R9+3</f>
        <v>46179</v>
      </c>
      <c r="T9" s="15" t="n">
        <f aca="false">S9+2</f>
        <v>46181</v>
      </c>
      <c r="U9" s="15" t="n">
        <f aca="false">T9+2</f>
        <v>46183</v>
      </c>
      <c r="V9" s="15" t="n">
        <f aca="false">U9+3</f>
        <v>46186</v>
      </c>
      <c r="W9" s="15" t="n">
        <f aca="false">V9+2</f>
        <v>46188</v>
      </c>
      <c r="X9" s="15" t="n">
        <f aca="false">W9+2</f>
        <v>46190</v>
      </c>
      <c r="Y9" s="15" t="n">
        <f aca="false">X9+3</f>
        <v>46193</v>
      </c>
      <c r="Z9" s="15" t="n">
        <f aca="false">Y9+2</f>
        <v>46195</v>
      </c>
      <c r="AA9" s="15" t="n">
        <f aca="false">Z9+2</f>
        <v>46197</v>
      </c>
      <c r="AB9" s="15" t="n">
        <f aca="false">AA9+3</f>
        <v>46200</v>
      </c>
      <c r="AC9" s="15" t="n">
        <f aca="false">AB9+2</f>
        <v>46202</v>
      </c>
      <c r="AD9" s="15" t="n">
        <f aca="false">AC9+2</f>
        <v>46204</v>
      </c>
      <c r="AE9" s="15" t="n">
        <f aca="false">AD9+3</f>
        <v>46207</v>
      </c>
      <c r="AF9" s="15" t="n">
        <f aca="false">AE9+2</f>
        <v>46209</v>
      </c>
      <c r="AG9" s="15" t="n">
        <f aca="false">AF9+2</f>
        <v>46211</v>
      </c>
      <c r="AH9" s="15" t="n">
        <f aca="false">AG9+3</f>
        <v>46214</v>
      </c>
      <c r="AI9" s="15" t="n">
        <f aca="false">AH9+2</f>
        <v>46216</v>
      </c>
      <c r="AJ9" s="15" t="n">
        <f aca="false">AI9+2</f>
        <v>46218</v>
      </c>
      <c r="AK9" s="15" t="n">
        <f aca="false">AJ9+3</f>
        <v>46221</v>
      </c>
      <c r="AL9" s="15" t="n">
        <f aca="false">AK9+2</f>
        <v>46223</v>
      </c>
      <c r="AM9" s="15" t="n">
        <f aca="false">AL9+2</f>
        <v>46225</v>
      </c>
      <c r="AN9" s="15" t="n">
        <f aca="false">AM9+3</f>
        <v>46228</v>
      </c>
      <c r="AO9" s="15" t="n">
        <f aca="false">AN9+2</f>
        <v>46230</v>
      </c>
      <c r="AP9" s="15" t="n">
        <f aca="false">AO9+2</f>
        <v>46232</v>
      </c>
      <c r="AQ9" s="15" t="n">
        <f aca="false">AP9+3</f>
        <v>46235</v>
      </c>
      <c r="AR9" s="15" t="n">
        <f aca="false">AQ9+2</f>
        <v>46237</v>
      </c>
      <c r="AS9" s="15" t="n">
        <f aca="false">AR9+2</f>
        <v>46239</v>
      </c>
      <c r="AT9" s="15" t="n">
        <f aca="false">AS9+3</f>
        <v>46242</v>
      </c>
      <c r="AU9" s="15" t="n">
        <f aca="false">AT9+2</f>
        <v>46244</v>
      </c>
      <c r="AV9" s="15" t="n">
        <f aca="false">AU9+2</f>
        <v>46246</v>
      </c>
      <c r="AW9" s="15" t="n">
        <f aca="false">AV9+3</f>
        <v>46249</v>
      </c>
      <c r="AX9" s="15" t="n">
        <f aca="false">AW9+2</f>
        <v>46251</v>
      </c>
      <c r="AY9" s="15" t="n">
        <f aca="false">AX9+2</f>
        <v>46253</v>
      </c>
      <c r="AZ9" s="15" t="n">
        <f aca="false">AY9+3</f>
        <v>46256</v>
      </c>
      <c r="BA9" s="15" t="n">
        <f aca="false">AZ9+2</f>
        <v>46258</v>
      </c>
      <c r="BB9" s="15" t="n">
        <f aca="false">BA9+2</f>
        <v>46260</v>
      </c>
      <c r="BC9" s="15" t="n">
        <f aca="false">BB9+3</f>
        <v>46263</v>
      </c>
      <c r="BD9" s="15" t="n">
        <f aca="false">BC9+2</f>
        <v>46265</v>
      </c>
      <c r="BE9" s="15" t="n">
        <f aca="false">BD9+2</f>
        <v>46267</v>
      </c>
      <c r="BF9" s="15" t="n">
        <f aca="false">BE9+3</f>
        <v>46270</v>
      </c>
      <c r="BG9" s="15" t="n">
        <f aca="false">BF9+2</f>
        <v>46272</v>
      </c>
      <c r="BH9" s="15" t="n">
        <f aca="false">BG9+2</f>
        <v>46274</v>
      </c>
      <c r="BI9" s="15" t="n">
        <f aca="false">BH9+3</f>
        <v>46277</v>
      </c>
      <c r="BJ9" s="15" t="n">
        <f aca="false">BI9+2</f>
        <v>46279</v>
      </c>
      <c r="BK9" s="15" t="n">
        <f aca="false">BJ9+2</f>
        <v>46281</v>
      </c>
      <c r="BL9" s="15" t="n">
        <f aca="false">BK9+3</f>
        <v>46284</v>
      </c>
      <c r="BM9" s="15" t="n">
        <f aca="false">BL9+2</f>
        <v>46286</v>
      </c>
      <c r="BN9" s="15" t="n">
        <f aca="false">BM9+2</f>
        <v>46288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1</v>
      </c>
      <c r="B10" s="95" t="n">
        <v>26275</v>
      </c>
      <c r="C10" s="96" t="s">
        <v>151</v>
      </c>
      <c r="D10" s="17" t="n">
        <f aca="false">COUNTIF($G10:$BN10,D$9)</f>
        <v>31</v>
      </c>
      <c r="E10" s="17" t="n">
        <f aca="false">COUNTIF($G10:$BN10,E$9)</f>
        <v>13</v>
      </c>
      <c r="F10" s="17" t="n">
        <f aca="false">COUNTIF($G10:$BN10,F$9)</f>
        <v>2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11</v>
      </c>
      <c r="M10" s="18" t="s">
        <v>17</v>
      </c>
      <c r="N10" s="18" t="s">
        <v>17</v>
      </c>
      <c r="O10" s="18" t="s">
        <v>17</v>
      </c>
      <c r="P10" s="18" t="s">
        <v>17</v>
      </c>
      <c r="Q10" s="18" t="s">
        <v>10</v>
      </c>
      <c r="R10" s="18" t="s">
        <v>10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9</v>
      </c>
      <c r="X10" s="18" t="s">
        <v>9</v>
      </c>
      <c r="Y10" s="18" t="s">
        <v>9</v>
      </c>
      <c r="Z10" s="18" t="s">
        <v>9</v>
      </c>
      <c r="AA10" s="18" t="s">
        <v>10</v>
      </c>
      <c r="AB10" s="18" t="s">
        <v>11</v>
      </c>
      <c r="AC10" s="18" t="s">
        <v>10</v>
      </c>
      <c r="AD10" s="18" t="s">
        <v>10</v>
      </c>
      <c r="AE10" s="18" t="s">
        <v>10</v>
      </c>
      <c r="AF10" s="18" t="s">
        <v>10</v>
      </c>
      <c r="AG10" s="18" t="s">
        <v>10</v>
      </c>
      <c r="AH10" s="18"/>
      <c r="AI10" s="18" t="s">
        <v>10</v>
      </c>
      <c r="AJ10" s="18" t="s">
        <v>9</v>
      </c>
      <c r="AK10" s="18" t="s">
        <v>9</v>
      </c>
      <c r="AL10" s="18" t="s">
        <v>9</v>
      </c>
      <c r="AM10" s="18" t="s">
        <v>9</v>
      </c>
      <c r="AN10" s="18" t="s">
        <v>9</v>
      </c>
      <c r="AO10" s="18" t="s">
        <v>9</v>
      </c>
      <c r="AP10" s="18" t="s">
        <v>9</v>
      </c>
      <c r="AQ10" s="18" t="s">
        <v>10</v>
      </c>
      <c r="AR10" s="18" t="s">
        <v>10</v>
      </c>
      <c r="AS10" s="18" t="s">
        <v>9</v>
      </c>
      <c r="AT10" s="18" t="s">
        <v>9</v>
      </c>
      <c r="AU10" s="18" t="s">
        <v>9</v>
      </c>
      <c r="AV10" s="18" t="s">
        <v>9</v>
      </c>
      <c r="AW10" s="18" t="s">
        <v>9</v>
      </c>
      <c r="AX10" s="18" t="s">
        <v>9</v>
      </c>
      <c r="AY10" s="18" t="s">
        <v>9</v>
      </c>
      <c r="AZ10" s="18" t="s">
        <v>10</v>
      </c>
      <c r="BA10" s="18" t="s">
        <v>9</v>
      </c>
      <c r="BB10" s="18" t="s">
        <v>9</v>
      </c>
      <c r="BC10" s="18" t="s">
        <v>10</v>
      </c>
      <c r="BD10" s="18" t="s">
        <v>9</v>
      </c>
      <c r="BE10" s="18" t="s">
        <v>9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2</v>
      </c>
      <c r="B11" s="97" t="n">
        <v>26309</v>
      </c>
      <c r="C11" s="19" t="s">
        <v>152</v>
      </c>
      <c r="D11" s="17" t="n">
        <f aca="false">COUNTIF($G11:$BN11,D$9)</f>
        <v>39</v>
      </c>
      <c r="E11" s="17" t="n">
        <f aca="false">COUNTIF($G11:$BN11,E$9)</f>
        <v>7</v>
      </c>
      <c r="F11" s="17" t="n">
        <f aca="false">COUNTIF($G11:$BN11,F$9)</f>
        <v>0</v>
      </c>
      <c r="G11" s="18" t="s">
        <v>9</v>
      </c>
      <c r="H11" s="18" t="s">
        <v>9</v>
      </c>
      <c r="I11" s="18" t="s">
        <v>9</v>
      </c>
      <c r="J11" s="18" t="s">
        <v>9</v>
      </c>
      <c r="K11" s="18" t="s">
        <v>9</v>
      </c>
      <c r="L11" s="18" t="s">
        <v>9</v>
      </c>
      <c r="M11" s="18" t="s">
        <v>17</v>
      </c>
      <c r="N11" s="18" t="s">
        <v>17</v>
      </c>
      <c r="O11" s="18" t="s">
        <v>17</v>
      </c>
      <c r="P11" s="18" t="s">
        <v>17</v>
      </c>
      <c r="Q11" s="18" t="s">
        <v>9</v>
      </c>
      <c r="R11" s="18" t="s">
        <v>9</v>
      </c>
      <c r="S11" s="18" t="s">
        <v>9</v>
      </c>
      <c r="T11" s="18" t="s">
        <v>9</v>
      </c>
      <c r="U11" s="18" t="s">
        <v>9</v>
      </c>
      <c r="V11" s="18" t="s">
        <v>9</v>
      </c>
      <c r="W11" s="18" t="s">
        <v>9</v>
      </c>
      <c r="X11" s="18" t="s">
        <v>9</v>
      </c>
      <c r="Y11" s="18" t="s">
        <v>9</v>
      </c>
      <c r="Z11" s="18" t="s">
        <v>9</v>
      </c>
      <c r="AA11" s="18" t="s">
        <v>9</v>
      </c>
      <c r="AB11" s="18" t="s">
        <v>9</v>
      </c>
      <c r="AC11" s="18" t="s">
        <v>9</v>
      </c>
      <c r="AD11" s="18" t="s">
        <v>9</v>
      </c>
      <c r="AE11" s="18" t="s">
        <v>9</v>
      </c>
      <c r="AF11" s="18" t="s">
        <v>10</v>
      </c>
      <c r="AG11" s="18" t="s">
        <v>9</v>
      </c>
      <c r="AH11" s="18"/>
      <c r="AI11" s="18" t="s">
        <v>10</v>
      </c>
      <c r="AJ11" s="18" t="s">
        <v>9</v>
      </c>
      <c r="AK11" s="18" t="s">
        <v>10</v>
      </c>
      <c r="AL11" s="18" t="s">
        <v>9</v>
      </c>
      <c r="AM11" s="18" t="s">
        <v>10</v>
      </c>
      <c r="AN11" s="18" t="s">
        <v>10</v>
      </c>
      <c r="AO11" s="18" t="s">
        <v>9</v>
      </c>
      <c r="AP11" s="18" t="s">
        <v>9</v>
      </c>
      <c r="AQ11" s="18" t="s">
        <v>9</v>
      </c>
      <c r="AR11" s="18" t="s">
        <v>10</v>
      </c>
      <c r="AS11" s="18" t="s">
        <v>9</v>
      </c>
      <c r="AT11" s="18" t="s">
        <v>9</v>
      </c>
      <c r="AU11" s="18" t="s">
        <v>9</v>
      </c>
      <c r="AV11" s="18" t="s">
        <v>9</v>
      </c>
      <c r="AW11" s="18" t="s">
        <v>9</v>
      </c>
      <c r="AX11" s="18" t="s">
        <v>10</v>
      </c>
      <c r="AY11" s="18" t="s">
        <v>9</v>
      </c>
      <c r="AZ11" s="18" t="s">
        <v>9</v>
      </c>
      <c r="BA11" s="18" t="s">
        <v>9</v>
      </c>
      <c r="BB11" s="18" t="s">
        <v>9</v>
      </c>
      <c r="BC11" s="18" t="s">
        <v>9</v>
      </c>
      <c r="BD11" s="18" t="s">
        <v>9</v>
      </c>
      <c r="BE11" s="18" t="s">
        <v>9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3</v>
      </c>
      <c r="B12" s="97" t="n">
        <v>26270</v>
      </c>
      <c r="C12" s="19" t="s">
        <v>153</v>
      </c>
      <c r="D12" s="17" t="n">
        <f aca="false">COUNTIF($G12:$BN12,D$9)</f>
        <v>42</v>
      </c>
      <c r="E12" s="17" t="n">
        <f aca="false">COUNTIF($G12:$BN12,E$9)</f>
        <v>4</v>
      </c>
      <c r="F12" s="17" t="n">
        <f aca="false">COUNTIF($G12:$BN12,F$9)</f>
        <v>0</v>
      </c>
      <c r="G12" s="18" t="s">
        <v>9</v>
      </c>
      <c r="H12" s="18" t="s">
        <v>9</v>
      </c>
      <c r="I12" s="18" t="s">
        <v>9</v>
      </c>
      <c r="J12" s="18" t="s">
        <v>9</v>
      </c>
      <c r="K12" s="18" t="s">
        <v>9</v>
      </c>
      <c r="L12" s="18" t="s">
        <v>9</v>
      </c>
      <c r="M12" s="18" t="s">
        <v>17</v>
      </c>
      <c r="N12" s="18" t="s">
        <v>17</v>
      </c>
      <c r="O12" s="18" t="s">
        <v>17</v>
      </c>
      <c r="P12" s="18" t="s">
        <v>17</v>
      </c>
      <c r="Q12" s="18" t="s">
        <v>10</v>
      </c>
      <c r="R12" s="18" t="s">
        <v>9</v>
      </c>
      <c r="S12" s="18" t="s">
        <v>9</v>
      </c>
      <c r="T12" s="18" t="s">
        <v>9</v>
      </c>
      <c r="U12" s="18" t="s">
        <v>9</v>
      </c>
      <c r="V12" s="18" t="s">
        <v>9</v>
      </c>
      <c r="W12" s="18" t="s">
        <v>9</v>
      </c>
      <c r="X12" s="18" t="s">
        <v>9</v>
      </c>
      <c r="Y12" s="18" t="s">
        <v>9</v>
      </c>
      <c r="Z12" s="18" t="s">
        <v>9</v>
      </c>
      <c r="AA12" s="18" t="s">
        <v>9</v>
      </c>
      <c r="AB12" s="18" t="s">
        <v>9</v>
      </c>
      <c r="AC12" s="18" t="s">
        <v>9</v>
      </c>
      <c r="AD12" s="18" t="s">
        <v>9</v>
      </c>
      <c r="AE12" s="18" t="s">
        <v>9</v>
      </c>
      <c r="AF12" s="18" t="s">
        <v>9</v>
      </c>
      <c r="AG12" s="18" t="s">
        <v>9</v>
      </c>
      <c r="AH12" s="18"/>
      <c r="AI12" s="18" t="s">
        <v>9</v>
      </c>
      <c r="AJ12" s="18" t="s">
        <v>9</v>
      </c>
      <c r="AK12" s="18" t="s">
        <v>9</v>
      </c>
      <c r="AL12" s="18" t="s">
        <v>9</v>
      </c>
      <c r="AM12" s="18" t="s">
        <v>9</v>
      </c>
      <c r="AN12" s="18" t="s">
        <v>10</v>
      </c>
      <c r="AO12" s="18" t="s">
        <v>9</v>
      </c>
      <c r="AP12" s="18" t="s">
        <v>9</v>
      </c>
      <c r="AQ12" s="18" t="s">
        <v>9</v>
      </c>
      <c r="AR12" s="18" t="s">
        <v>9</v>
      </c>
      <c r="AS12" s="18" t="s">
        <v>9</v>
      </c>
      <c r="AT12" s="18" t="s">
        <v>10</v>
      </c>
      <c r="AU12" s="18" t="s">
        <v>9</v>
      </c>
      <c r="AV12" s="18" t="s">
        <v>9</v>
      </c>
      <c r="AW12" s="18" t="s">
        <v>9</v>
      </c>
      <c r="AX12" s="18" t="s">
        <v>9</v>
      </c>
      <c r="AY12" s="18" t="s">
        <v>10</v>
      </c>
      <c r="AZ12" s="18" t="s">
        <v>9</v>
      </c>
      <c r="BA12" s="18" t="s">
        <v>9</v>
      </c>
      <c r="BB12" s="18" t="s">
        <v>9</v>
      </c>
      <c r="BC12" s="18" t="s">
        <v>9</v>
      </c>
      <c r="BD12" s="18" t="s">
        <v>9</v>
      </c>
      <c r="BE12" s="18" t="s">
        <v>9</v>
      </c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4</v>
      </c>
      <c r="B13" s="95" t="n">
        <v>26271</v>
      </c>
      <c r="C13" s="19" t="s">
        <v>154</v>
      </c>
      <c r="D13" s="17" t="n">
        <f aca="false">COUNTIF($G13:$BN13,D$9)</f>
        <v>42</v>
      </c>
      <c r="E13" s="17" t="n">
        <f aca="false">COUNTIF($G13:$BN13,E$9)</f>
        <v>4</v>
      </c>
      <c r="F13" s="17" t="n">
        <f aca="false">COUNTIF($G13:$BN13,F$9)</f>
        <v>0</v>
      </c>
      <c r="G13" s="18" t="s">
        <v>9</v>
      </c>
      <c r="H13" s="18" t="s">
        <v>9</v>
      </c>
      <c r="I13" s="18" t="s">
        <v>9</v>
      </c>
      <c r="J13" s="18" t="s">
        <v>9</v>
      </c>
      <c r="K13" s="18" t="s">
        <v>9</v>
      </c>
      <c r="L13" s="18" t="s">
        <v>9</v>
      </c>
      <c r="M13" s="18" t="s">
        <v>17</v>
      </c>
      <c r="N13" s="18" t="s">
        <v>17</v>
      </c>
      <c r="O13" s="18" t="s">
        <v>17</v>
      </c>
      <c r="P13" s="18" t="s">
        <v>17</v>
      </c>
      <c r="Q13" s="18" t="s">
        <v>9</v>
      </c>
      <c r="R13" s="18" t="s">
        <v>9</v>
      </c>
      <c r="S13" s="18" t="s">
        <v>9</v>
      </c>
      <c r="T13" s="18" t="s">
        <v>10</v>
      </c>
      <c r="U13" s="18" t="s">
        <v>9</v>
      </c>
      <c r="V13" s="18" t="s">
        <v>9</v>
      </c>
      <c r="W13" s="18" t="s">
        <v>9</v>
      </c>
      <c r="X13" s="18" t="s">
        <v>9</v>
      </c>
      <c r="Y13" s="18" t="s">
        <v>9</v>
      </c>
      <c r="Z13" s="18" t="s">
        <v>9</v>
      </c>
      <c r="AA13" s="18" t="s">
        <v>9</v>
      </c>
      <c r="AB13" s="18" t="s">
        <v>9</v>
      </c>
      <c r="AC13" s="18" t="s">
        <v>9</v>
      </c>
      <c r="AD13" s="18" t="s">
        <v>9</v>
      </c>
      <c r="AE13" s="18" t="s">
        <v>9</v>
      </c>
      <c r="AF13" s="18" t="s">
        <v>10</v>
      </c>
      <c r="AG13" s="18" t="s">
        <v>9</v>
      </c>
      <c r="AH13" s="18"/>
      <c r="AI13" s="18" t="s">
        <v>9</v>
      </c>
      <c r="AJ13" s="18" t="s">
        <v>9</v>
      </c>
      <c r="AK13" s="18" t="s">
        <v>9</v>
      </c>
      <c r="AL13" s="18" t="s">
        <v>9</v>
      </c>
      <c r="AM13" s="18" t="s">
        <v>9</v>
      </c>
      <c r="AN13" s="18" t="s">
        <v>9</v>
      </c>
      <c r="AO13" s="18" t="s">
        <v>9</v>
      </c>
      <c r="AP13" s="18" t="s">
        <v>9</v>
      </c>
      <c r="AQ13" s="18" t="s">
        <v>9</v>
      </c>
      <c r="AR13" s="18" t="s">
        <v>9</v>
      </c>
      <c r="AS13" s="18" t="s">
        <v>9</v>
      </c>
      <c r="AT13" s="18" t="s">
        <v>9</v>
      </c>
      <c r="AU13" s="18" t="s">
        <v>9</v>
      </c>
      <c r="AV13" s="18" t="s">
        <v>9</v>
      </c>
      <c r="AW13" s="18" t="s">
        <v>9</v>
      </c>
      <c r="AX13" s="18" t="s">
        <v>9</v>
      </c>
      <c r="AY13" s="18" t="s">
        <v>9</v>
      </c>
      <c r="AZ13" s="18" t="s">
        <v>10</v>
      </c>
      <c r="BA13" s="18" t="s">
        <v>9</v>
      </c>
      <c r="BB13" s="18" t="s">
        <v>9</v>
      </c>
      <c r="BC13" s="18" t="s">
        <v>10</v>
      </c>
      <c r="BD13" s="18" t="s">
        <v>9</v>
      </c>
      <c r="BE13" s="18" t="s">
        <v>9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6</v>
      </c>
      <c r="B14" s="97" t="n">
        <v>26278</v>
      </c>
      <c r="C14" s="19" t="s">
        <v>155</v>
      </c>
      <c r="D14" s="17" t="n">
        <f aca="false">COUNTIF($G14:$BN14,D$9)</f>
        <v>13</v>
      </c>
      <c r="E14" s="17" t="n">
        <f aca="false">COUNTIF($G14:$BN14,E$9)</f>
        <v>33</v>
      </c>
      <c r="F14" s="17" t="n">
        <f aca="false">COUNTIF($G14:$BN14,F$9)</f>
        <v>0</v>
      </c>
      <c r="G14" s="18" t="s">
        <v>9</v>
      </c>
      <c r="H14" s="18" t="s">
        <v>9</v>
      </c>
      <c r="I14" s="18" t="s">
        <v>10</v>
      </c>
      <c r="J14" s="18" t="s">
        <v>9</v>
      </c>
      <c r="K14" s="18" t="s">
        <v>9</v>
      </c>
      <c r="L14" s="18" t="s">
        <v>9</v>
      </c>
      <c r="M14" s="18" t="s">
        <v>17</v>
      </c>
      <c r="N14" s="18" t="s">
        <v>17</v>
      </c>
      <c r="O14" s="18" t="s">
        <v>17</v>
      </c>
      <c r="P14" s="18" t="s">
        <v>17</v>
      </c>
      <c r="Q14" s="18" t="s">
        <v>10</v>
      </c>
      <c r="R14" s="18" t="s">
        <v>10</v>
      </c>
      <c r="S14" s="18" t="s">
        <v>9</v>
      </c>
      <c r="T14" s="18" t="s">
        <v>10</v>
      </c>
      <c r="U14" s="18" t="s">
        <v>10</v>
      </c>
      <c r="V14" s="18" t="s">
        <v>9</v>
      </c>
      <c r="W14" s="18" t="s">
        <v>9</v>
      </c>
      <c r="X14" s="18" t="s">
        <v>10</v>
      </c>
      <c r="Y14" s="18" t="s">
        <v>9</v>
      </c>
      <c r="Z14" s="18" t="s">
        <v>10</v>
      </c>
      <c r="AA14" s="18" t="s">
        <v>9</v>
      </c>
      <c r="AB14" s="18" t="s">
        <v>9</v>
      </c>
      <c r="AC14" s="18" t="s">
        <v>9</v>
      </c>
      <c r="AD14" s="18" t="s">
        <v>10</v>
      </c>
      <c r="AE14" s="18" t="s">
        <v>10</v>
      </c>
      <c r="AF14" s="18" t="s">
        <v>10</v>
      </c>
      <c r="AG14" s="18" t="s">
        <v>10</v>
      </c>
      <c r="AH14" s="18"/>
      <c r="AI14" s="18" t="s">
        <v>10</v>
      </c>
      <c r="AJ14" s="18" t="s">
        <v>9</v>
      </c>
      <c r="AK14" s="18" t="s">
        <v>10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7</v>
      </c>
      <c r="B15" s="97" t="n">
        <v>25189</v>
      </c>
      <c r="C15" s="19" t="s">
        <v>156</v>
      </c>
      <c r="D15" s="17" t="n">
        <f aca="false">COUNTIF($G15:$BN15,D$9)</f>
        <v>14</v>
      </c>
      <c r="E15" s="17" t="n">
        <f aca="false">COUNTIF($G15:$BN15,E$9)</f>
        <v>32</v>
      </c>
      <c r="F15" s="17" t="n">
        <f aca="false">COUNTIF($G15:$BN15,F$9)</f>
        <v>0</v>
      </c>
      <c r="G15" s="18" t="s">
        <v>9</v>
      </c>
      <c r="H15" s="18" t="s">
        <v>9</v>
      </c>
      <c r="I15" s="18" t="s">
        <v>9</v>
      </c>
      <c r="J15" s="18" t="s">
        <v>9</v>
      </c>
      <c r="K15" s="18" t="s">
        <v>9</v>
      </c>
      <c r="L15" s="18" t="s">
        <v>9</v>
      </c>
      <c r="M15" s="18" t="s">
        <v>17</v>
      </c>
      <c r="N15" s="18" t="s">
        <v>17</v>
      </c>
      <c r="O15" s="18" t="s">
        <v>17</v>
      </c>
      <c r="P15" s="18" t="s">
        <v>17</v>
      </c>
      <c r="Q15" s="18" t="s">
        <v>10</v>
      </c>
      <c r="R15" s="18" t="s">
        <v>10</v>
      </c>
      <c r="S15" s="18" t="s">
        <v>10</v>
      </c>
      <c r="T15" s="18" t="s">
        <v>10</v>
      </c>
      <c r="U15" s="18" t="s">
        <v>9</v>
      </c>
      <c r="V15" s="18" t="s">
        <v>10</v>
      </c>
      <c r="W15" s="18" t="s">
        <v>9</v>
      </c>
      <c r="X15" s="18" t="s">
        <v>9</v>
      </c>
      <c r="Y15" s="18" t="s">
        <v>9</v>
      </c>
      <c r="Z15" s="18" t="s">
        <v>9</v>
      </c>
      <c r="AA15" s="18" t="s">
        <v>9</v>
      </c>
      <c r="AB15" s="18" t="s">
        <v>10</v>
      </c>
      <c r="AC15" s="18" t="s">
        <v>10</v>
      </c>
      <c r="AD15" s="18" t="s">
        <v>10</v>
      </c>
      <c r="AE15" s="18" t="s">
        <v>9</v>
      </c>
      <c r="AF15" s="18" t="s">
        <v>10</v>
      </c>
      <c r="AG15" s="18" t="s">
        <v>9</v>
      </c>
      <c r="AH15" s="18"/>
      <c r="AI15" s="18" t="s">
        <v>10</v>
      </c>
      <c r="AJ15" s="18" t="s">
        <v>10</v>
      </c>
      <c r="AK15" s="18" t="s">
        <v>10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8</v>
      </c>
      <c r="B16" s="97" t="n">
        <v>26280</v>
      </c>
      <c r="C16" s="19" t="s">
        <v>157</v>
      </c>
      <c r="D16" s="17" t="n">
        <f aca="false">COUNTIF($G16:$BN16,D$9)</f>
        <v>27</v>
      </c>
      <c r="E16" s="17" t="n">
        <f aca="false">COUNTIF($G16:$BN16,E$9)</f>
        <v>19</v>
      </c>
      <c r="F16" s="17" t="n">
        <f aca="false">COUNTIF($G16:$BN16,F$9)</f>
        <v>0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 t="s">
        <v>9</v>
      </c>
      <c r="M16" s="18" t="s">
        <v>17</v>
      </c>
      <c r="N16" s="18" t="s">
        <v>17</v>
      </c>
      <c r="O16" s="18" t="s">
        <v>17</v>
      </c>
      <c r="P16" s="18" t="s">
        <v>17</v>
      </c>
      <c r="Q16" s="18" t="s">
        <v>9</v>
      </c>
      <c r="R16" s="18" t="s">
        <v>9</v>
      </c>
      <c r="S16" s="18" t="s">
        <v>9</v>
      </c>
      <c r="T16" s="18" t="s">
        <v>9</v>
      </c>
      <c r="U16" s="18" t="s">
        <v>9</v>
      </c>
      <c r="V16" s="18" t="s">
        <v>9</v>
      </c>
      <c r="W16" s="18" t="s">
        <v>9</v>
      </c>
      <c r="X16" s="18" t="s">
        <v>9</v>
      </c>
      <c r="Y16" s="18" t="s">
        <v>9</v>
      </c>
      <c r="Z16" s="18" t="s">
        <v>9</v>
      </c>
      <c r="AA16" s="18" t="s">
        <v>9</v>
      </c>
      <c r="AB16" s="18" t="s">
        <v>9</v>
      </c>
      <c r="AC16" s="18" t="s">
        <v>9</v>
      </c>
      <c r="AD16" s="18" t="s">
        <v>9</v>
      </c>
      <c r="AE16" s="18" t="s">
        <v>9</v>
      </c>
      <c r="AF16" s="18" t="s">
        <v>9</v>
      </c>
      <c r="AG16" s="18" t="s">
        <v>9</v>
      </c>
      <c r="AH16" s="18"/>
      <c r="AI16" s="18" t="s">
        <v>9</v>
      </c>
      <c r="AJ16" s="18" t="s">
        <v>9</v>
      </c>
      <c r="AK16" s="18" t="s">
        <v>9</v>
      </c>
      <c r="AL16" s="18" t="s">
        <v>9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9</v>
      </c>
      <c r="B17" s="97" t="n">
        <v>26281</v>
      </c>
      <c r="C17" s="19" t="s">
        <v>158</v>
      </c>
      <c r="D17" s="17" t="n">
        <f aca="false">COUNTIF($G17:$BN17,D$9)</f>
        <v>25</v>
      </c>
      <c r="E17" s="17" t="n">
        <f aca="false">COUNTIF($G17:$BN17,E$9)</f>
        <v>21</v>
      </c>
      <c r="F17" s="17" t="n">
        <f aca="false">COUNTIF($G17:$BN17,F$9)</f>
        <v>0</v>
      </c>
      <c r="G17" s="18" t="s">
        <v>9</v>
      </c>
      <c r="H17" s="18" t="s">
        <v>9</v>
      </c>
      <c r="I17" s="18" t="s">
        <v>9</v>
      </c>
      <c r="J17" s="18" t="s">
        <v>9</v>
      </c>
      <c r="K17" s="18" t="s">
        <v>9</v>
      </c>
      <c r="L17" s="18" t="s">
        <v>9</v>
      </c>
      <c r="M17" s="18" t="s">
        <v>17</v>
      </c>
      <c r="N17" s="18" t="s">
        <v>17</v>
      </c>
      <c r="O17" s="18" t="s">
        <v>17</v>
      </c>
      <c r="P17" s="18" t="s">
        <v>17</v>
      </c>
      <c r="Q17" s="18" t="s">
        <v>9</v>
      </c>
      <c r="R17" s="18" t="s">
        <v>9</v>
      </c>
      <c r="S17" s="18" t="s">
        <v>9</v>
      </c>
      <c r="T17" s="18" t="s">
        <v>9</v>
      </c>
      <c r="U17" s="18" t="s">
        <v>9</v>
      </c>
      <c r="V17" s="18" t="s">
        <v>9</v>
      </c>
      <c r="W17" s="18" t="s">
        <v>10</v>
      </c>
      <c r="X17" s="18" t="s">
        <v>9</v>
      </c>
      <c r="Y17" s="18" t="s">
        <v>9</v>
      </c>
      <c r="Z17" s="18" t="s">
        <v>9</v>
      </c>
      <c r="AA17" s="18" t="s">
        <v>9</v>
      </c>
      <c r="AB17" s="18" t="s">
        <v>10</v>
      </c>
      <c r="AC17" s="18" t="s">
        <v>9</v>
      </c>
      <c r="AD17" s="18" t="s">
        <v>9</v>
      </c>
      <c r="AE17" s="18" t="s">
        <v>9</v>
      </c>
      <c r="AF17" s="18" t="s">
        <v>9</v>
      </c>
      <c r="AG17" s="18" t="s">
        <v>10</v>
      </c>
      <c r="AH17" s="18"/>
      <c r="AI17" s="18" t="s">
        <v>10</v>
      </c>
      <c r="AJ17" s="18" t="s">
        <v>10</v>
      </c>
      <c r="AK17" s="18" t="s">
        <v>10</v>
      </c>
      <c r="AL17" s="18" t="s">
        <v>10</v>
      </c>
      <c r="AM17" s="18" t="s">
        <v>9</v>
      </c>
      <c r="AN17" s="18" t="s">
        <v>10</v>
      </c>
      <c r="AO17" s="18" t="s">
        <v>9</v>
      </c>
      <c r="AP17" s="18" t="s">
        <v>9</v>
      </c>
      <c r="AQ17" s="18" t="s">
        <v>9</v>
      </c>
      <c r="AR17" s="18" t="s">
        <v>10</v>
      </c>
      <c r="AS17" s="18" t="s">
        <v>10</v>
      </c>
      <c r="AT17" s="18" t="s">
        <v>9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10</v>
      </c>
      <c r="B18" s="97" t="n">
        <v>26282</v>
      </c>
      <c r="C18" s="19" t="s">
        <v>159</v>
      </c>
      <c r="D18" s="17" t="n">
        <f aca="false">COUNTIF($G18:$BN18,D$9)</f>
        <v>21</v>
      </c>
      <c r="E18" s="17" t="n">
        <f aca="false">COUNTIF($G18:$BN18,E$9)</f>
        <v>25</v>
      </c>
      <c r="F18" s="17" t="n">
        <f aca="false">COUNTIF($G18:$BN18,F$9)</f>
        <v>0</v>
      </c>
      <c r="G18" s="18" t="s">
        <v>9</v>
      </c>
      <c r="H18" s="18" t="s">
        <v>9</v>
      </c>
      <c r="I18" s="18" t="s">
        <v>9</v>
      </c>
      <c r="J18" s="18" t="s">
        <v>9</v>
      </c>
      <c r="K18" s="18" t="s">
        <v>9</v>
      </c>
      <c r="L18" s="18" t="s">
        <v>9</v>
      </c>
      <c r="M18" s="18" t="s">
        <v>17</v>
      </c>
      <c r="N18" s="18" t="s">
        <v>17</v>
      </c>
      <c r="O18" s="18" t="s">
        <v>17</v>
      </c>
      <c r="P18" s="18" t="s">
        <v>17</v>
      </c>
      <c r="Q18" s="18" t="s">
        <v>10</v>
      </c>
      <c r="R18" s="18" t="s">
        <v>9</v>
      </c>
      <c r="S18" s="18" t="s">
        <v>9</v>
      </c>
      <c r="T18" s="18" t="s">
        <v>9</v>
      </c>
      <c r="U18" s="18" t="s">
        <v>9</v>
      </c>
      <c r="V18" s="18" t="s">
        <v>9</v>
      </c>
      <c r="W18" s="18" t="s">
        <v>9</v>
      </c>
      <c r="X18" s="18" t="s">
        <v>9</v>
      </c>
      <c r="Y18" s="18" t="s">
        <v>9</v>
      </c>
      <c r="Z18" s="18" t="s">
        <v>9</v>
      </c>
      <c r="AA18" s="18" t="s">
        <v>9</v>
      </c>
      <c r="AB18" s="18" t="s">
        <v>9</v>
      </c>
      <c r="AC18" s="18" t="s">
        <v>9</v>
      </c>
      <c r="AD18" s="18" t="s">
        <v>9</v>
      </c>
      <c r="AE18" s="18" t="s">
        <v>9</v>
      </c>
      <c r="AF18" s="18" t="s">
        <v>10</v>
      </c>
      <c r="AG18" s="18" t="s">
        <v>9</v>
      </c>
      <c r="AH18" s="18"/>
      <c r="AI18" s="18" t="s">
        <v>10</v>
      </c>
      <c r="AJ18" s="18" t="s">
        <v>10</v>
      </c>
      <c r="AK18" s="18" t="s">
        <v>10</v>
      </c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11</v>
      </c>
      <c r="B19" s="97" t="n">
        <v>26283</v>
      </c>
      <c r="C19" s="19" t="s">
        <v>160</v>
      </c>
      <c r="D19" s="17" t="n">
        <f aca="false">COUNTIF($G19:$BN19,D$9)</f>
        <v>20</v>
      </c>
      <c r="E19" s="17" t="n">
        <f aca="false">COUNTIF($G19:$BN19,E$9)</f>
        <v>26</v>
      </c>
      <c r="F19" s="17" t="n">
        <f aca="false">COUNTIF($G19:$BN19,F$9)</f>
        <v>0</v>
      </c>
      <c r="G19" s="18" t="s">
        <v>9</v>
      </c>
      <c r="H19" s="18" t="s">
        <v>9</v>
      </c>
      <c r="I19" s="18" t="s">
        <v>9</v>
      </c>
      <c r="J19" s="18" t="s">
        <v>9</v>
      </c>
      <c r="K19" s="18" t="s">
        <v>9</v>
      </c>
      <c r="L19" s="18" t="s">
        <v>9</v>
      </c>
      <c r="M19" s="18" t="s">
        <v>17</v>
      </c>
      <c r="N19" s="18" t="s">
        <v>17</v>
      </c>
      <c r="O19" s="18" t="s">
        <v>17</v>
      </c>
      <c r="P19" s="18" t="s">
        <v>17</v>
      </c>
      <c r="Q19" s="18" t="s">
        <v>10</v>
      </c>
      <c r="R19" s="18" t="s">
        <v>9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9</v>
      </c>
      <c r="Z19" s="18" t="s">
        <v>9</v>
      </c>
      <c r="AA19" s="18" t="s">
        <v>9</v>
      </c>
      <c r="AB19" s="18" t="s">
        <v>9</v>
      </c>
      <c r="AC19" s="18" t="s">
        <v>9</v>
      </c>
      <c r="AD19" s="18" t="s">
        <v>9</v>
      </c>
      <c r="AE19" s="18" t="s">
        <v>9</v>
      </c>
      <c r="AF19" s="18" t="s">
        <v>10</v>
      </c>
      <c r="AG19" s="18" t="s">
        <v>10</v>
      </c>
      <c r="AH19" s="18"/>
      <c r="AI19" s="18" t="s">
        <v>10</v>
      </c>
      <c r="AJ19" s="18" t="s">
        <v>10</v>
      </c>
      <c r="AK19" s="18" t="s">
        <v>10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12</v>
      </c>
      <c r="B20" s="97" t="n">
        <v>26324</v>
      </c>
      <c r="C20" s="19" t="s">
        <v>161</v>
      </c>
      <c r="D20" s="17" t="n">
        <f aca="false">COUNTIF($G20:$BN20,D$9)</f>
        <v>14</v>
      </c>
      <c r="E20" s="17" t="n">
        <f aca="false">COUNTIF($G20:$BN20,E$9)</f>
        <v>27</v>
      </c>
      <c r="F20" s="17" t="n">
        <f aca="false">COUNTIF($G20:$BN20,F$9)</f>
        <v>2</v>
      </c>
      <c r="G20" s="18" t="s">
        <v>9</v>
      </c>
      <c r="H20" s="18" t="s">
        <v>9</v>
      </c>
      <c r="I20" s="18" t="s">
        <v>10</v>
      </c>
      <c r="J20" s="18" t="s">
        <v>10</v>
      </c>
      <c r="K20" s="18" t="s">
        <v>9</v>
      </c>
      <c r="L20" s="18" t="s">
        <v>9</v>
      </c>
      <c r="M20" s="18" t="s">
        <v>17</v>
      </c>
      <c r="N20" s="18" t="s">
        <v>17</v>
      </c>
      <c r="O20" s="18" t="s">
        <v>17</v>
      </c>
      <c r="P20" s="18" t="s">
        <v>17</v>
      </c>
      <c r="Q20" s="18" t="s">
        <v>9</v>
      </c>
      <c r="R20" s="18" t="s">
        <v>10</v>
      </c>
      <c r="S20" s="18" t="s">
        <v>9</v>
      </c>
      <c r="T20" s="18" t="s">
        <v>9</v>
      </c>
      <c r="U20" s="18" t="s">
        <v>9</v>
      </c>
      <c r="V20" s="18" t="s">
        <v>10</v>
      </c>
      <c r="W20" s="18" t="s">
        <v>9</v>
      </c>
      <c r="X20" s="18" t="s">
        <v>10</v>
      </c>
      <c r="Y20" s="18" t="s">
        <v>11</v>
      </c>
      <c r="Z20" s="18" t="s">
        <v>11</v>
      </c>
      <c r="AA20" s="18" t="s">
        <v>10</v>
      </c>
      <c r="AB20" s="18" t="s">
        <v>9</v>
      </c>
      <c r="AC20" s="18" t="s">
        <v>9</v>
      </c>
      <c r="AD20" s="18" t="s">
        <v>9</v>
      </c>
      <c r="AE20" s="18" t="s">
        <v>9</v>
      </c>
      <c r="AF20" s="18" t="s">
        <v>10</v>
      </c>
      <c r="AG20" s="18" t="s">
        <v>10</v>
      </c>
      <c r="AH20" s="18"/>
      <c r="AI20" s="18" t="s">
        <v>10</v>
      </c>
      <c r="AJ20" s="18" t="s">
        <v>10</v>
      </c>
      <c r="AK20" s="18" t="s">
        <v>10</v>
      </c>
      <c r="AL20" s="18" t="s">
        <v>10</v>
      </c>
      <c r="AM20" s="18" t="s">
        <v>10</v>
      </c>
      <c r="AN20" s="18" t="s">
        <v>9</v>
      </c>
      <c r="AO20" s="18" t="s">
        <v>57</v>
      </c>
      <c r="AP20" s="18" t="s">
        <v>57</v>
      </c>
      <c r="AQ20" s="18" t="s">
        <v>57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13</v>
      </c>
      <c r="B21" s="97" t="n">
        <v>26285</v>
      </c>
      <c r="C21" s="19" t="s">
        <v>162</v>
      </c>
      <c r="D21" s="17" t="n">
        <f aca="false">COUNTIF($G21:$BN21,D$9)</f>
        <v>33</v>
      </c>
      <c r="E21" s="17" t="n">
        <f aca="false">COUNTIF($G21:$BN21,E$9)</f>
        <v>13</v>
      </c>
      <c r="F21" s="17" t="n">
        <f aca="false">COUNTIF($G21:$BN21,F$9)</f>
        <v>0</v>
      </c>
      <c r="G21" s="18" t="s">
        <v>9</v>
      </c>
      <c r="H21" s="18" t="s">
        <v>9</v>
      </c>
      <c r="I21" s="18" t="s">
        <v>9</v>
      </c>
      <c r="J21" s="18" t="s">
        <v>9</v>
      </c>
      <c r="K21" s="18" t="s">
        <v>9</v>
      </c>
      <c r="L21" s="18" t="s">
        <v>10</v>
      </c>
      <c r="M21" s="18" t="s">
        <v>17</v>
      </c>
      <c r="N21" s="18" t="s">
        <v>17</v>
      </c>
      <c r="O21" s="18" t="s">
        <v>17</v>
      </c>
      <c r="P21" s="18" t="s">
        <v>17</v>
      </c>
      <c r="Q21" s="18" t="s">
        <v>9</v>
      </c>
      <c r="R21" s="18" t="s">
        <v>9</v>
      </c>
      <c r="S21" s="18" t="s">
        <v>9</v>
      </c>
      <c r="T21" s="18" t="s">
        <v>9</v>
      </c>
      <c r="U21" s="18" t="s">
        <v>9</v>
      </c>
      <c r="V21" s="18" t="s">
        <v>9</v>
      </c>
      <c r="W21" s="18" t="s">
        <v>9</v>
      </c>
      <c r="X21" s="18" t="s">
        <v>9</v>
      </c>
      <c r="Y21" s="18" t="s">
        <v>9</v>
      </c>
      <c r="Z21" s="18" t="s">
        <v>10</v>
      </c>
      <c r="AA21" s="18" t="s">
        <v>9</v>
      </c>
      <c r="AB21" s="18" t="s">
        <v>9</v>
      </c>
      <c r="AC21" s="18" t="s">
        <v>9</v>
      </c>
      <c r="AD21" s="18" t="s">
        <v>9</v>
      </c>
      <c r="AE21" s="18" t="s">
        <v>9</v>
      </c>
      <c r="AF21" s="18" t="s">
        <v>10</v>
      </c>
      <c r="AG21" s="18" t="s">
        <v>10</v>
      </c>
      <c r="AH21" s="18"/>
      <c r="AI21" s="18" t="s">
        <v>10</v>
      </c>
      <c r="AJ21" s="18" t="s">
        <v>9</v>
      </c>
      <c r="AK21" s="18" t="s">
        <v>10</v>
      </c>
      <c r="AL21" s="18" t="s">
        <v>10</v>
      </c>
      <c r="AM21" s="18" t="s">
        <v>10</v>
      </c>
      <c r="AN21" s="18" t="s">
        <v>10</v>
      </c>
      <c r="AO21" s="18" t="s">
        <v>9</v>
      </c>
      <c r="AP21" s="18" t="s">
        <v>9</v>
      </c>
      <c r="AQ21" s="18" t="s">
        <v>9</v>
      </c>
      <c r="AR21" s="18" t="s">
        <v>9</v>
      </c>
      <c r="AS21" s="18" t="s">
        <v>9</v>
      </c>
      <c r="AT21" s="18" t="s">
        <v>9</v>
      </c>
      <c r="AU21" s="18" t="s">
        <v>9</v>
      </c>
      <c r="AV21" s="18" t="s">
        <v>10</v>
      </c>
      <c r="AW21" s="18" t="s">
        <v>10</v>
      </c>
      <c r="AX21" s="18" t="s">
        <v>9</v>
      </c>
      <c r="AY21" s="18" t="s">
        <v>9</v>
      </c>
      <c r="AZ21" s="18" t="s">
        <v>10</v>
      </c>
      <c r="BA21" s="18" t="s">
        <v>9</v>
      </c>
      <c r="BB21" s="18" t="s">
        <v>10</v>
      </c>
      <c r="BC21" s="18" t="s">
        <v>9</v>
      </c>
      <c r="BD21" s="18" t="s">
        <v>9</v>
      </c>
      <c r="BE21" s="18" t="s">
        <v>9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 t="n">
        <v>14</v>
      </c>
      <c r="B22" s="97" t="n">
        <v>26292</v>
      </c>
      <c r="C22" s="19" t="s">
        <v>163</v>
      </c>
      <c r="D22" s="17" t="n">
        <f aca="false">COUNTIF($G22:$BN22,D$9)</f>
        <v>35</v>
      </c>
      <c r="E22" s="17" t="n">
        <f aca="false">COUNTIF($G22:$BN22,E$9)</f>
        <v>10</v>
      </c>
      <c r="F22" s="17" t="n">
        <f aca="false">COUNTIF($G22:$BN22,F$9)</f>
        <v>1</v>
      </c>
      <c r="G22" s="18" t="s">
        <v>9</v>
      </c>
      <c r="H22" s="18" t="s">
        <v>9</v>
      </c>
      <c r="I22" s="18" t="s">
        <v>9</v>
      </c>
      <c r="J22" s="18" t="s">
        <v>9</v>
      </c>
      <c r="K22" s="18" t="s">
        <v>9</v>
      </c>
      <c r="L22" s="18" t="s">
        <v>9</v>
      </c>
      <c r="M22" s="18" t="s">
        <v>17</v>
      </c>
      <c r="N22" s="18" t="s">
        <v>17</v>
      </c>
      <c r="O22" s="18" t="s">
        <v>17</v>
      </c>
      <c r="P22" s="18" t="s">
        <v>17</v>
      </c>
      <c r="Q22" s="18" t="s">
        <v>9</v>
      </c>
      <c r="R22" s="18" t="s">
        <v>9</v>
      </c>
      <c r="S22" s="18" t="s">
        <v>9</v>
      </c>
      <c r="T22" s="18" t="s">
        <v>9</v>
      </c>
      <c r="U22" s="18" t="s">
        <v>9</v>
      </c>
      <c r="V22" s="18" t="s">
        <v>10</v>
      </c>
      <c r="W22" s="18" t="s">
        <v>9</v>
      </c>
      <c r="X22" s="18" t="s">
        <v>9</v>
      </c>
      <c r="Y22" s="18" t="s">
        <v>9</v>
      </c>
      <c r="Z22" s="18" t="s">
        <v>10</v>
      </c>
      <c r="AA22" s="18" t="s">
        <v>10</v>
      </c>
      <c r="AB22" s="18" t="s">
        <v>9</v>
      </c>
      <c r="AC22" s="18" t="s">
        <v>9</v>
      </c>
      <c r="AD22" s="18" t="s">
        <v>9</v>
      </c>
      <c r="AE22" s="18" t="s">
        <v>9</v>
      </c>
      <c r="AF22" s="18" t="s">
        <v>10</v>
      </c>
      <c r="AG22" s="18" t="s">
        <v>10</v>
      </c>
      <c r="AH22" s="18"/>
      <c r="AI22" s="18" t="s">
        <v>10</v>
      </c>
      <c r="AJ22" s="18" t="s">
        <v>9</v>
      </c>
      <c r="AK22" s="18" t="s">
        <v>9</v>
      </c>
      <c r="AL22" s="18" t="s">
        <v>9</v>
      </c>
      <c r="AM22" s="18" t="s">
        <v>9</v>
      </c>
      <c r="AN22" s="18" t="s">
        <v>9</v>
      </c>
      <c r="AO22" s="18" t="s">
        <v>11</v>
      </c>
      <c r="AP22" s="18" t="s">
        <v>9</v>
      </c>
      <c r="AQ22" s="18" t="s">
        <v>9</v>
      </c>
      <c r="AR22" s="18" t="s">
        <v>10</v>
      </c>
      <c r="AS22" s="18" t="s">
        <v>9</v>
      </c>
      <c r="AT22" s="18" t="s">
        <v>9</v>
      </c>
      <c r="AU22" s="18" t="s">
        <v>10</v>
      </c>
      <c r="AV22" s="18" t="s">
        <v>9</v>
      </c>
      <c r="AW22" s="18" t="s">
        <v>10</v>
      </c>
      <c r="AX22" s="18" t="s">
        <v>9</v>
      </c>
      <c r="AY22" s="18" t="s">
        <v>9</v>
      </c>
      <c r="AZ22" s="18" t="s">
        <v>9</v>
      </c>
      <c r="BA22" s="18" t="s">
        <v>9</v>
      </c>
      <c r="BB22" s="18" t="s">
        <v>9</v>
      </c>
      <c r="BC22" s="18" t="s">
        <v>9</v>
      </c>
      <c r="BD22" s="18" t="s">
        <v>10</v>
      </c>
      <c r="BE22" s="18" t="s">
        <v>9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26" t="n">
        <v>15</v>
      </c>
      <c r="B23" s="98" t="n">
        <v>26289</v>
      </c>
      <c r="C23" s="27" t="s">
        <v>164</v>
      </c>
      <c r="D23" s="26" t="n">
        <f aca="false">COUNTIF($G23:$BN23,D$9)</f>
        <v>43</v>
      </c>
      <c r="E23" s="26" t="n">
        <f aca="false">COUNTIF($G23:$BN23,E$9)</f>
        <v>2</v>
      </c>
      <c r="F23" s="26" t="n">
        <f aca="false">COUNTIF($G23:$BN23,F$9)</f>
        <v>1</v>
      </c>
      <c r="G23" s="29" t="s">
        <v>9</v>
      </c>
      <c r="H23" s="29" t="s">
        <v>9</v>
      </c>
      <c r="I23" s="29" t="s">
        <v>9</v>
      </c>
      <c r="J23" s="29" t="s">
        <v>9</v>
      </c>
      <c r="K23" s="29" t="s">
        <v>9</v>
      </c>
      <c r="L23" s="29" t="s">
        <v>9</v>
      </c>
      <c r="M23" s="29" t="s">
        <v>17</v>
      </c>
      <c r="N23" s="29" t="s">
        <v>17</v>
      </c>
      <c r="O23" s="29" t="s">
        <v>17</v>
      </c>
      <c r="P23" s="29" t="s">
        <v>17</v>
      </c>
      <c r="Q23" s="29" t="s">
        <v>9</v>
      </c>
      <c r="R23" s="29" t="s">
        <v>9</v>
      </c>
      <c r="S23" s="29" t="s">
        <v>9</v>
      </c>
      <c r="T23" s="29" t="s">
        <v>9</v>
      </c>
      <c r="U23" s="29" t="s">
        <v>9</v>
      </c>
      <c r="V23" s="29" t="s">
        <v>9</v>
      </c>
      <c r="W23" s="29" t="s">
        <v>9</v>
      </c>
      <c r="X23" s="29" t="s">
        <v>9</v>
      </c>
      <c r="Y23" s="29" t="s">
        <v>11</v>
      </c>
      <c r="Z23" s="29" t="s">
        <v>9</v>
      </c>
      <c r="AA23" s="29" t="s">
        <v>9</v>
      </c>
      <c r="AB23" s="29" t="s">
        <v>9</v>
      </c>
      <c r="AC23" s="29" t="s">
        <v>9</v>
      </c>
      <c r="AD23" s="29" t="s">
        <v>9</v>
      </c>
      <c r="AE23" s="29" t="s">
        <v>9</v>
      </c>
      <c r="AF23" s="29" t="s">
        <v>10</v>
      </c>
      <c r="AG23" s="29" t="s">
        <v>10</v>
      </c>
      <c r="AH23" s="29"/>
      <c r="AI23" s="29" t="s">
        <v>9</v>
      </c>
      <c r="AJ23" s="29" t="s">
        <v>9</v>
      </c>
      <c r="AK23" s="29" t="s">
        <v>9</v>
      </c>
      <c r="AL23" s="29" t="s">
        <v>9</v>
      </c>
      <c r="AM23" s="29" t="s">
        <v>9</v>
      </c>
      <c r="AN23" s="29" t="s">
        <v>9</v>
      </c>
      <c r="AO23" s="29" t="s">
        <v>9</v>
      </c>
      <c r="AP23" s="29" t="s">
        <v>9</v>
      </c>
      <c r="AQ23" s="29" t="s">
        <v>9</v>
      </c>
      <c r="AR23" s="29" t="s">
        <v>9</v>
      </c>
      <c r="AS23" s="29" t="s">
        <v>9</v>
      </c>
      <c r="AT23" s="29" t="s">
        <v>9</v>
      </c>
      <c r="AU23" s="29" t="s">
        <v>9</v>
      </c>
      <c r="AV23" s="29" t="s">
        <v>9</v>
      </c>
      <c r="AW23" s="29" t="s">
        <v>9</v>
      </c>
      <c r="AX23" s="29" t="s">
        <v>9</v>
      </c>
      <c r="AY23" s="29" t="s">
        <v>9</v>
      </c>
      <c r="AZ23" s="29" t="s">
        <v>9</v>
      </c>
      <c r="BA23" s="29" t="s">
        <v>9</v>
      </c>
      <c r="BB23" s="29" t="s">
        <v>9</v>
      </c>
      <c r="BC23" s="29" t="s">
        <v>9</v>
      </c>
      <c r="BD23" s="29" t="s">
        <v>9</v>
      </c>
      <c r="BE23" s="29" t="s">
        <v>9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</row>
    <row r="24" customFormat="false" ht="15.75" hidden="false" customHeight="true" outlineLevel="0" collapsed="false">
      <c r="A24" s="26" t="n">
        <v>16</v>
      </c>
      <c r="B24" s="98" t="n">
        <v>26314</v>
      </c>
      <c r="C24" s="27" t="s">
        <v>165</v>
      </c>
      <c r="D24" s="26" t="n">
        <f aca="false">COUNTIF($G24:$BN24,D$9)</f>
        <v>28</v>
      </c>
      <c r="E24" s="26" t="n">
        <f aca="false">COUNTIF($G24:$BN24,E$9)</f>
        <v>5</v>
      </c>
      <c r="F24" s="26" t="n">
        <f aca="false">COUNTIF($G24:$BN24,F$9)</f>
        <v>0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 t="s">
        <v>9</v>
      </c>
      <c r="Y24" s="29" t="s">
        <v>9</v>
      </c>
      <c r="Z24" s="29" t="s">
        <v>9</v>
      </c>
      <c r="AA24" s="29" t="s">
        <v>9</v>
      </c>
      <c r="AB24" s="29" t="s">
        <v>9</v>
      </c>
      <c r="AC24" s="29" t="s">
        <v>9</v>
      </c>
      <c r="AD24" s="29" t="s">
        <v>9</v>
      </c>
      <c r="AE24" s="29" t="s">
        <v>10</v>
      </c>
      <c r="AF24" s="29" t="s">
        <v>9</v>
      </c>
      <c r="AG24" s="29" t="s">
        <v>9</v>
      </c>
      <c r="AH24" s="29"/>
      <c r="AI24" s="29" t="s">
        <v>9</v>
      </c>
      <c r="AJ24" s="29" t="s">
        <v>9</v>
      </c>
      <c r="AK24" s="29" t="s">
        <v>10</v>
      </c>
      <c r="AL24" s="29" t="s">
        <v>9</v>
      </c>
      <c r="AM24" s="29" t="s">
        <v>9</v>
      </c>
      <c r="AN24" s="29" t="s">
        <v>9</v>
      </c>
      <c r="AO24" s="29" t="s">
        <v>10</v>
      </c>
      <c r="AP24" s="29" t="s">
        <v>9</v>
      </c>
      <c r="AQ24" s="29" t="s">
        <v>9</v>
      </c>
      <c r="AR24" s="29" t="s">
        <v>9</v>
      </c>
      <c r="AS24" s="29" t="s">
        <v>9</v>
      </c>
      <c r="AT24" s="29" t="s">
        <v>9</v>
      </c>
      <c r="AU24" s="29" t="s">
        <v>9</v>
      </c>
      <c r="AV24" s="29" t="s">
        <v>10</v>
      </c>
      <c r="AW24" s="29" t="s">
        <v>9</v>
      </c>
      <c r="AX24" s="29" t="s">
        <v>9</v>
      </c>
      <c r="AY24" s="29" t="s">
        <v>9</v>
      </c>
      <c r="AZ24" s="29" t="s">
        <v>10</v>
      </c>
      <c r="BA24" s="29" t="s">
        <v>9</v>
      </c>
      <c r="BB24" s="29" t="s">
        <v>9</v>
      </c>
      <c r="BC24" s="29" t="s">
        <v>9</v>
      </c>
      <c r="BD24" s="29" t="s">
        <v>9</v>
      </c>
      <c r="BE24" s="29" t="s">
        <v>9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</row>
    <row r="25" customFormat="false" ht="15.75" hidden="false" customHeight="true" outlineLevel="0" collapsed="false">
      <c r="A25" s="47" t="n">
        <v>17</v>
      </c>
      <c r="B25" s="99" t="n">
        <v>26284</v>
      </c>
      <c r="C25" s="59" t="s">
        <v>166</v>
      </c>
      <c r="D25" s="47" t="n">
        <f aca="false">COUNTIF($G25:$BN25,D$9)</f>
        <v>26</v>
      </c>
      <c r="E25" s="47" t="n">
        <f aca="false">COUNTIF($G25:$BN25,E$9)</f>
        <v>19</v>
      </c>
      <c r="F25" s="47" t="n">
        <f aca="false">COUNTIF($G25:$BN25,F$9)</f>
        <v>1</v>
      </c>
      <c r="G25" s="48" t="s">
        <v>10</v>
      </c>
      <c r="H25" s="48" t="s">
        <v>10</v>
      </c>
      <c r="I25" s="48" t="s">
        <v>9</v>
      </c>
      <c r="J25" s="48" t="s">
        <v>9</v>
      </c>
      <c r="K25" s="48" t="s">
        <v>9</v>
      </c>
      <c r="L25" s="48" t="s">
        <v>9</v>
      </c>
      <c r="M25" s="48" t="s">
        <v>17</v>
      </c>
      <c r="N25" s="48" t="s">
        <v>17</v>
      </c>
      <c r="O25" s="48" t="s">
        <v>17</v>
      </c>
      <c r="P25" s="48" t="s">
        <v>17</v>
      </c>
      <c r="Q25" s="48" t="s">
        <v>10</v>
      </c>
      <c r="R25" s="48" t="s">
        <v>9</v>
      </c>
      <c r="S25" s="48" t="s">
        <v>9</v>
      </c>
      <c r="T25" s="48" t="s">
        <v>9</v>
      </c>
      <c r="U25" s="48" t="s">
        <v>10</v>
      </c>
      <c r="V25" s="48" t="s">
        <v>10</v>
      </c>
      <c r="W25" s="48" t="s">
        <v>9</v>
      </c>
      <c r="X25" s="48" t="s">
        <v>10</v>
      </c>
      <c r="Y25" s="48" t="s">
        <v>9</v>
      </c>
      <c r="Z25" s="48" t="s">
        <v>10</v>
      </c>
      <c r="AA25" s="48" t="s">
        <v>10</v>
      </c>
      <c r="AB25" s="48" t="s">
        <v>10</v>
      </c>
      <c r="AC25" s="48" t="s">
        <v>9</v>
      </c>
      <c r="AD25" s="48" t="s">
        <v>9</v>
      </c>
      <c r="AE25" s="48" t="s">
        <v>9</v>
      </c>
      <c r="AF25" s="48" t="s">
        <v>10</v>
      </c>
      <c r="AG25" s="48" t="s">
        <v>10</v>
      </c>
      <c r="AH25" s="48"/>
      <c r="AI25" s="48" t="s">
        <v>9</v>
      </c>
      <c r="AJ25" s="48" t="s">
        <v>9</v>
      </c>
      <c r="AK25" s="48" t="s">
        <v>9</v>
      </c>
      <c r="AL25" s="48" t="s">
        <v>11</v>
      </c>
      <c r="AM25" s="48" t="s">
        <v>9</v>
      </c>
      <c r="AN25" s="48" t="s">
        <v>10</v>
      </c>
      <c r="AO25" s="48" t="s">
        <v>9</v>
      </c>
      <c r="AP25" s="48" t="s">
        <v>9</v>
      </c>
      <c r="AQ25" s="48" t="s">
        <v>9</v>
      </c>
      <c r="AR25" s="48" t="s">
        <v>9</v>
      </c>
      <c r="AS25" s="48" t="s">
        <v>10</v>
      </c>
      <c r="AT25" s="48" t="s">
        <v>10</v>
      </c>
      <c r="AU25" s="48" t="s">
        <v>9</v>
      </c>
      <c r="AV25" s="48" t="s">
        <v>10</v>
      </c>
      <c r="AW25" s="48" t="s">
        <v>9</v>
      </c>
      <c r="AX25" s="48" t="s">
        <v>9</v>
      </c>
      <c r="AY25" s="48" t="s">
        <v>9</v>
      </c>
      <c r="AZ25" s="48" t="s">
        <v>10</v>
      </c>
      <c r="BA25" s="48" t="s">
        <v>10</v>
      </c>
      <c r="BB25" s="48" t="s">
        <v>10</v>
      </c>
      <c r="BC25" s="48" t="s">
        <v>10</v>
      </c>
      <c r="BD25" s="48" t="s">
        <v>9</v>
      </c>
      <c r="BE25" s="48" t="s">
        <v>9</v>
      </c>
      <c r="BF25" s="48"/>
      <c r="BG25" s="48"/>
      <c r="BH25" s="48"/>
      <c r="BI25" s="48"/>
      <c r="BJ25" s="48"/>
      <c r="BK25" s="48"/>
      <c r="BL25" s="48"/>
      <c r="BM25" s="48"/>
      <c r="BN25" s="48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</row>
    <row r="26" customFormat="false" ht="14.25" hidden="false" customHeight="true" outlineLevel="0" collapsed="false">
      <c r="A26" s="100" t="n">
        <v>18</v>
      </c>
      <c r="B26" s="101" t="n">
        <v>25126</v>
      </c>
      <c r="C26" s="102" t="s">
        <v>167</v>
      </c>
      <c r="D26" s="100" t="n">
        <f aca="false">COUNTIF($G26:$BN26,D$9)</f>
        <v>16</v>
      </c>
      <c r="E26" s="100" t="n">
        <f aca="false">COUNTIF($G26:$BN26,E$9)</f>
        <v>15</v>
      </c>
      <c r="F26" s="100" t="n">
        <f aca="false">COUNTIF($G26:$BN26,F$9)</f>
        <v>0</v>
      </c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 t="s">
        <v>9</v>
      </c>
      <c r="AA26" s="103" t="s">
        <v>10</v>
      </c>
      <c r="AB26" s="103" t="s">
        <v>10</v>
      </c>
      <c r="AC26" s="103" t="s">
        <v>10</v>
      </c>
      <c r="AD26" s="103" t="s">
        <v>9</v>
      </c>
      <c r="AE26" s="103" t="s">
        <v>9</v>
      </c>
      <c r="AF26" s="103" t="s">
        <v>10</v>
      </c>
      <c r="AG26" s="103" t="s">
        <v>10</v>
      </c>
      <c r="AH26" s="103"/>
      <c r="AI26" s="103" t="s">
        <v>10</v>
      </c>
      <c r="AJ26" s="103" t="s">
        <v>10</v>
      </c>
      <c r="AK26" s="103" t="s">
        <v>10</v>
      </c>
      <c r="AL26" s="103" t="s">
        <v>10</v>
      </c>
      <c r="AM26" s="103" t="s">
        <v>10</v>
      </c>
      <c r="AN26" s="103" t="s">
        <v>10</v>
      </c>
      <c r="AO26" s="103" t="s">
        <v>9</v>
      </c>
      <c r="AP26" s="103" t="s">
        <v>9</v>
      </c>
      <c r="AQ26" s="103" t="s">
        <v>9</v>
      </c>
      <c r="AR26" s="103" t="s">
        <v>9</v>
      </c>
      <c r="AS26" s="103" t="s">
        <v>9</v>
      </c>
      <c r="AT26" s="103" t="s">
        <v>10</v>
      </c>
      <c r="AU26" s="103" t="s">
        <v>9</v>
      </c>
      <c r="AV26" s="103" t="s">
        <v>9</v>
      </c>
      <c r="AW26" s="103" t="s">
        <v>10</v>
      </c>
      <c r="AX26" s="103" t="s">
        <v>9</v>
      </c>
      <c r="AY26" s="103" t="s">
        <v>10</v>
      </c>
      <c r="AZ26" s="103" t="s">
        <v>9</v>
      </c>
      <c r="BA26" s="103" t="s">
        <v>9</v>
      </c>
      <c r="BB26" s="103" t="s">
        <v>9</v>
      </c>
      <c r="BC26" s="103" t="s">
        <v>9</v>
      </c>
      <c r="BD26" s="103" t="s">
        <v>10</v>
      </c>
      <c r="BE26" s="103" t="s">
        <v>9</v>
      </c>
      <c r="BF26" s="103"/>
      <c r="BG26" s="103"/>
      <c r="BH26" s="103"/>
      <c r="BI26" s="103"/>
      <c r="BJ26" s="103"/>
      <c r="BK26" s="103"/>
      <c r="BL26" s="103"/>
      <c r="BM26" s="103"/>
      <c r="BN26" s="103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</row>
    <row r="27" customFormat="false" ht="15.75" hidden="false" customHeight="true" outlineLevel="0" collapsed="false"/>
    <row r="28" customFormat="false" ht="15.75" hidden="false" customHeight="true" outlineLevel="0" collapsed="false">
      <c r="Q28" s="38" t="n">
        <f aca="false">COUNTA(F26:AX26)</f>
        <v>25</v>
      </c>
    </row>
    <row r="29" customFormat="false" ht="15.75" hidden="false" customHeight="true" outlineLevel="0" collapsed="false">
      <c r="Q29" s="38" t="n">
        <f aca="false">COUNTIF(G26:AX26,Z26)</f>
        <v>11</v>
      </c>
    </row>
    <row r="30" customFormat="false" ht="15.75" hidden="false" customHeight="true" outlineLevel="0" collapsed="false">
      <c r="Q30" s="38" t="n">
        <f aca="false">COUNTIF(G26:AX26,AA26)</f>
        <v>13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7:BN7" type="list">
      <formula1>"SHAKIL,JIHAD,SOFIQUL ISLAM,NAZRUL ISLAM,SHOFIQUL ISLAM"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10:BN26" type="list">
      <formula1>"P,A,E,OFF DAY,BATCH 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14.25"/>
    <col collapsed="false" customWidth="true" hidden="false" outlineLevel="0" max="3" min="3" style="0" width="22.88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G2" s="3" t="s">
        <v>168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46179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46142</v>
      </c>
      <c r="J6" s="104" t="s">
        <v>14</v>
      </c>
      <c r="K6" s="104"/>
      <c r="L6" s="104"/>
      <c r="M6" s="104"/>
      <c r="N6" s="104"/>
      <c r="O6" s="104"/>
      <c r="P6" s="104"/>
      <c r="Q6" s="104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72</v>
      </c>
      <c r="H7" s="9" t="s">
        <v>72</v>
      </c>
      <c r="I7" s="9" t="s">
        <v>72</v>
      </c>
      <c r="J7" s="9" t="s">
        <v>72</v>
      </c>
      <c r="K7" s="9" t="s">
        <v>72</v>
      </c>
      <c r="L7" s="9" t="s">
        <v>72</v>
      </c>
      <c r="M7" s="9" t="s">
        <v>72</v>
      </c>
      <c r="N7" s="9" t="s">
        <v>72</v>
      </c>
      <c r="O7" s="9" t="s">
        <v>72</v>
      </c>
      <c r="P7" s="9" t="s">
        <v>72</v>
      </c>
      <c r="Q7" s="9" t="s">
        <v>72</v>
      </c>
      <c r="R7" s="9" t="s">
        <v>72</v>
      </c>
      <c r="S7" s="9" t="s">
        <v>72</v>
      </c>
      <c r="T7" s="9" t="s">
        <v>72</v>
      </c>
      <c r="U7" s="9" t="s">
        <v>72</v>
      </c>
      <c r="V7" s="9" t="s">
        <v>72</v>
      </c>
      <c r="W7" s="9" t="s">
        <v>72</v>
      </c>
      <c r="X7" s="9" t="s">
        <v>5</v>
      </c>
      <c r="Y7" s="9" t="s">
        <v>72</v>
      </c>
      <c r="Z7" s="9" t="s">
        <v>72</v>
      </c>
      <c r="AA7" s="9" t="s">
        <v>72</v>
      </c>
      <c r="AB7" s="9" t="s">
        <v>72</v>
      </c>
      <c r="AC7" s="9" t="s">
        <v>72</v>
      </c>
      <c r="AD7" s="9" t="s">
        <v>72</v>
      </c>
      <c r="AE7" s="9" t="s">
        <v>150</v>
      </c>
      <c r="AF7" s="9" t="s">
        <v>150</v>
      </c>
      <c r="AG7" s="9" t="s">
        <v>150</v>
      </c>
      <c r="AH7" s="9" t="s">
        <v>150</v>
      </c>
      <c r="AI7" s="9" t="s">
        <v>150</v>
      </c>
      <c r="AJ7" s="9" t="s">
        <v>150</v>
      </c>
      <c r="AK7" s="9" t="s">
        <v>150</v>
      </c>
      <c r="AL7" s="9" t="s">
        <v>150</v>
      </c>
      <c r="AM7" s="9" t="s">
        <v>150</v>
      </c>
      <c r="AN7" s="9" t="s">
        <v>150</v>
      </c>
      <c r="AO7" s="9" t="s">
        <v>150</v>
      </c>
      <c r="AP7" s="9" t="s">
        <v>5</v>
      </c>
      <c r="AQ7" s="9" t="s">
        <v>5</v>
      </c>
      <c r="AR7" s="9" t="s">
        <v>150</v>
      </c>
      <c r="AS7" s="9" t="s">
        <v>5</v>
      </c>
      <c r="AT7" s="9" t="s">
        <v>150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Sat</v>
      </c>
      <c r="H8" s="10" t="str">
        <f aca="false">TEXT(H9,"DDD")</f>
        <v>Mon</v>
      </c>
      <c r="I8" s="10" t="str">
        <f aca="false">TEXT(I9,"DDD")</f>
        <v>Wed</v>
      </c>
      <c r="J8" s="10" t="str">
        <f aca="false">TEXT(J9,"DDD")</f>
        <v>Sat</v>
      </c>
      <c r="K8" s="10" t="str">
        <f aca="false">TEXT(K9,"DDD")</f>
        <v>Mon</v>
      </c>
      <c r="L8" s="10" t="str">
        <f aca="false">TEXT(L9,"DDD")</f>
        <v>Wed</v>
      </c>
      <c r="M8" s="10" t="str">
        <f aca="false">TEXT(M9,"DDD")</f>
        <v>Sat</v>
      </c>
      <c r="N8" s="10" t="str">
        <f aca="false">TEXT(N9,"DDD")</f>
        <v>Mon</v>
      </c>
      <c r="O8" s="10" t="str">
        <f aca="false">TEXT(O9,"DDD")</f>
        <v>Wed</v>
      </c>
      <c r="P8" s="10" t="str">
        <f aca="false">TEXT(P9,"DDD")</f>
        <v>Sat</v>
      </c>
      <c r="Q8" s="10" t="str">
        <f aca="false">TEXT(Q9,"DDD")</f>
        <v>Mon</v>
      </c>
      <c r="R8" s="10" t="str">
        <f aca="false">TEXT(R9,"DDD")</f>
        <v>Wed</v>
      </c>
      <c r="S8" s="10" t="str">
        <f aca="false">TEXT(S9,"DDD")</f>
        <v>Sat</v>
      </c>
      <c r="T8" s="10" t="str">
        <f aca="false">TEXT(T9,"DDD")</f>
        <v>Mon</v>
      </c>
      <c r="U8" s="10" t="str">
        <f aca="false">TEXT(U9,"DDD")</f>
        <v>Wed</v>
      </c>
      <c r="V8" s="10" t="str">
        <f aca="false">TEXT(V9,"DDD")</f>
        <v>Sat</v>
      </c>
      <c r="W8" s="10" t="str">
        <f aca="false">TEXT(W9,"DDD")</f>
        <v>Mon</v>
      </c>
      <c r="X8" s="10" t="str">
        <f aca="false">TEXT(X9,"DDD")</f>
        <v>Wed</v>
      </c>
      <c r="Y8" s="10" t="str">
        <f aca="false">TEXT(Y9,"DDD")</f>
        <v>Sat</v>
      </c>
      <c r="Z8" s="10" t="str">
        <f aca="false">TEXT(Z9,"DDD")</f>
        <v>Mon</v>
      </c>
      <c r="AA8" s="10" t="str">
        <f aca="false">TEXT(AA9,"DDD")</f>
        <v>Wed</v>
      </c>
      <c r="AB8" s="10" t="str">
        <f aca="false">TEXT(AB9,"DDD")</f>
        <v>Sat</v>
      </c>
      <c r="AC8" s="10" t="str">
        <f aca="false">TEXT(AC9,"DDD")</f>
        <v>Mon</v>
      </c>
      <c r="AD8" s="10" t="str">
        <f aca="false">TEXT(AD9,"DDD")</f>
        <v>Wed</v>
      </c>
      <c r="AE8" s="10" t="str">
        <f aca="false">TEXT(AE9,"DDD")</f>
        <v>Sat</v>
      </c>
      <c r="AF8" s="10" t="str">
        <f aca="false">TEXT(AF9,"DDD")</f>
        <v>Mon</v>
      </c>
      <c r="AG8" s="10" t="str">
        <f aca="false">TEXT(AG9,"DDD")</f>
        <v>Wed</v>
      </c>
      <c r="AH8" s="10" t="str">
        <f aca="false">TEXT(AH9,"DDD")</f>
        <v>Sat</v>
      </c>
      <c r="AI8" s="10" t="str">
        <f aca="false">TEXT(AI9,"DDD")</f>
        <v>Mon</v>
      </c>
      <c r="AJ8" s="10" t="str">
        <f aca="false">TEXT(AJ9,"DDD")</f>
        <v>Wed</v>
      </c>
      <c r="AK8" s="10" t="str">
        <f aca="false">TEXT(AK9,"DDD")</f>
        <v>Sat</v>
      </c>
      <c r="AL8" s="10" t="str">
        <f aca="false">TEXT(AL9,"DDD")</f>
        <v>Mon</v>
      </c>
      <c r="AM8" s="10" t="str">
        <f aca="false">TEXT(AM9,"DDD")</f>
        <v>Wed</v>
      </c>
      <c r="AN8" s="10" t="str">
        <f aca="false">TEXT(AN9,"DDD")</f>
        <v>Sat</v>
      </c>
      <c r="AO8" s="10" t="str">
        <f aca="false">TEXT(AO9,"DDD")</f>
        <v>Mon</v>
      </c>
      <c r="AP8" s="10" t="str">
        <f aca="false">TEXT(AP9,"DDD")</f>
        <v>Wed</v>
      </c>
      <c r="AQ8" s="10" t="str">
        <f aca="false">TEXT(AQ9,"DDD")</f>
        <v>Sat</v>
      </c>
      <c r="AR8" s="10" t="str">
        <f aca="false">TEXT(AR9,"DDD")</f>
        <v>Mon</v>
      </c>
      <c r="AS8" s="10" t="str">
        <f aca="false">TEXT(AS9,"DDD")</f>
        <v>Wed</v>
      </c>
      <c r="AT8" s="10" t="str">
        <f aca="false">TEXT(AT9,"DDD")</f>
        <v>Sat</v>
      </c>
      <c r="AU8" s="10" t="str">
        <f aca="false">TEXT(AU9,"DDD")</f>
        <v>Mon</v>
      </c>
      <c r="AV8" s="10" t="str">
        <f aca="false">TEXT(AV9,"DDD")</f>
        <v>Wed</v>
      </c>
      <c r="AW8" s="10" t="str">
        <f aca="false">TEXT(AW9,"DDD")</f>
        <v>Sat</v>
      </c>
      <c r="AX8" s="10" t="str">
        <f aca="false">TEXT(AX9,"DDD")</f>
        <v>Mon</v>
      </c>
      <c r="AY8" s="10" t="str">
        <f aca="false">TEXT(AY9,"DDD")</f>
        <v>Wed</v>
      </c>
      <c r="AZ8" s="10" t="str">
        <f aca="false">TEXT(AZ9,"DDD")</f>
        <v>Sat</v>
      </c>
      <c r="BA8" s="10" t="str">
        <f aca="false">TEXT(BA9,"DDD")</f>
        <v>Mon</v>
      </c>
      <c r="BB8" s="10" t="str">
        <f aca="false">TEXT(BB9,"DDD")</f>
        <v>Wed</v>
      </c>
      <c r="BC8" s="10" t="str">
        <f aca="false">TEXT(BC9,"DDD")</f>
        <v>Sat</v>
      </c>
      <c r="BD8" s="10" t="str">
        <f aca="false">TEXT(BD9,"DDD")</f>
        <v>Mon</v>
      </c>
      <c r="BE8" s="10" t="str">
        <f aca="false">TEXT(BE9,"DDD")</f>
        <v>Wed</v>
      </c>
      <c r="BF8" s="10" t="str">
        <f aca="false">TEXT(BF9,"DDD")</f>
        <v>Sat</v>
      </c>
      <c r="BG8" s="10" t="str">
        <f aca="false">TEXT(BG9,"DDD")</f>
        <v>Mon</v>
      </c>
      <c r="BH8" s="10" t="str">
        <f aca="false">TEXT(BH9,"DDD")</f>
        <v>Wed</v>
      </c>
      <c r="BI8" s="10" t="str">
        <f aca="false">TEXT(BI9,"DDD")</f>
        <v>Sat</v>
      </c>
      <c r="BJ8" s="10" t="str">
        <f aca="false">TEXT(BJ9,"DDD")</f>
        <v>Mon</v>
      </c>
      <c r="BK8" s="10" t="str">
        <f aca="false">TEXT(BK9,"DDD")</f>
        <v>Wed</v>
      </c>
      <c r="BL8" s="10" t="str">
        <f aca="false">TEXT(BL9,"DDD")</f>
        <v>Sat</v>
      </c>
      <c r="BM8" s="10" t="str">
        <f aca="false">TEXT(BM9,"DDD")</f>
        <v>Mon</v>
      </c>
      <c r="BN8" s="10" t="str">
        <f aca="false">TEXT(BN9,"DDD")</f>
        <v>Wed</v>
      </c>
    </row>
    <row r="9" customFormat="false" ht="15.75" hidden="false" customHeight="true" outlineLevel="0" collapsed="false">
      <c r="A9" s="11" t="s">
        <v>6</v>
      </c>
      <c r="B9" s="40" t="s">
        <v>7</v>
      </c>
      <c r="C9" s="40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46179</v>
      </c>
      <c r="H9" s="15" t="n">
        <f aca="false">G9+2</f>
        <v>46181</v>
      </c>
      <c r="I9" s="15" t="n">
        <f aca="false">H9+2</f>
        <v>46183</v>
      </c>
      <c r="J9" s="15" t="n">
        <f aca="false">I9+3</f>
        <v>46186</v>
      </c>
      <c r="K9" s="15" t="n">
        <f aca="false">J9+2</f>
        <v>46188</v>
      </c>
      <c r="L9" s="15" t="n">
        <f aca="false">K9+2</f>
        <v>46190</v>
      </c>
      <c r="M9" s="15" t="n">
        <f aca="false">L9+3</f>
        <v>46193</v>
      </c>
      <c r="N9" s="15" t="n">
        <f aca="false">M9+2</f>
        <v>46195</v>
      </c>
      <c r="O9" s="15" t="n">
        <f aca="false">N9+2</f>
        <v>46197</v>
      </c>
      <c r="P9" s="15" t="n">
        <f aca="false">O9+3</f>
        <v>46200</v>
      </c>
      <c r="Q9" s="15" t="n">
        <f aca="false">P9+2</f>
        <v>46202</v>
      </c>
      <c r="R9" s="15" t="n">
        <f aca="false">Q9+2</f>
        <v>46204</v>
      </c>
      <c r="S9" s="15" t="n">
        <f aca="false">R9+3</f>
        <v>46207</v>
      </c>
      <c r="T9" s="15" t="n">
        <f aca="false">S9+2</f>
        <v>46209</v>
      </c>
      <c r="U9" s="15" t="n">
        <f aca="false">T9+2</f>
        <v>46211</v>
      </c>
      <c r="V9" s="15" t="n">
        <f aca="false">U9+3</f>
        <v>46214</v>
      </c>
      <c r="W9" s="15" t="n">
        <f aca="false">V9+2</f>
        <v>46216</v>
      </c>
      <c r="X9" s="15" t="n">
        <f aca="false">W9+2</f>
        <v>46218</v>
      </c>
      <c r="Y9" s="15" t="n">
        <f aca="false">X9+3</f>
        <v>46221</v>
      </c>
      <c r="Z9" s="15" t="n">
        <f aca="false">Y9+2</f>
        <v>46223</v>
      </c>
      <c r="AA9" s="15" t="n">
        <f aca="false">Z9+2</f>
        <v>46225</v>
      </c>
      <c r="AB9" s="15" t="n">
        <f aca="false">AA9+3</f>
        <v>46228</v>
      </c>
      <c r="AC9" s="15" t="n">
        <f aca="false">AB9+2</f>
        <v>46230</v>
      </c>
      <c r="AD9" s="15" t="n">
        <f aca="false">AC9+2</f>
        <v>46232</v>
      </c>
      <c r="AE9" s="15" t="n">
        <f aca="false">AD9+3</f>
        <v>46235</v>
      </c>
      <c r="AF9" s="15" t="n">
        <f aca="false">AE9+2</f>
        <v>46237</v>
      </c>
      <c r="AG9" s="15" t="n">
        <f aca="false">AF9+2</f>
        <v>46239</v>
      </c>
      <c r="AH9" s="15" t="n">
        <f aca="false">AG9+3</f>
        <v>46242</v>
      </c>
      <c r="AI9" s="15" t="n">
        <f aca="false">AH9+2</f>
        <v>46244</v>
      </c>
      <c r="AJ9" s="15" t="n">
        <f aca="false">AI9+2</f>
        <v>46246</v>
      </c>
      <c r="AK9" s="15" t="n">
        <f aca="false">AJ9+3</f>
        <v>46249</v>
      </c>
      <c r="AL9" s="15" t="n">
        <f aca="false">AK9+2</f>
        <v>46251</v>
      </c>
      <c r="AM9" s="15" t="n">
        <f aca="false">AL9+2</f>
        <v>46253</v>
      </c>
      <c r="AN9" s="15" t="n">
        <f aca="false">AM9+3</f>
        <v>46256</v>
      </c>
      <c r="AO9" s="15" t="n">
        <f aca="false">AN9+2</f>
        <v>46258</v>
      </c>
      <c r="AP9" s="15" t="n">
        <f aca="false">AO9+2</f>
        <v>46260</v>
      </c>
      <c r="AQ9" s="15" t="n">
        <f aca="false">AP9+3</f>
        <v>46263</v>
      </c>
      <c r="AR9" s="15" t="n">
        <f aca="false">AQ9+2</f>
        <v>46265</v>
      </c>
      <c r="AS9" s="15" t="n">
        <f aca="false">AR9+2</f>
        <v>46267</v>
      </c>
      <c r="AT9" s="15" t="n">
        <f aca="false">AS9+3</f>
        <v>46270</v>
      </c>
      <c r="AU9" s="15" t="n">
        <f aca="false">AT9+2</f>
        <v>46272</v>
      </c>
      <c r="AV9" s="15" t="n">
        <f aca="false">AU9+2</f>
        <v>46274</v>
      </c>
      <c r="AW9" s="15" t="n">
        <f aca="false">AV9+3</f>
        <v>46277</v>
      </c>
      <c r="AX9" s="15" t="n">
        <f aca="false">AW9+2</f>
        <v>46279</v>
      </c>
      <c r="AY9" s="15" t="n">
        <f aca="false">AX9+2</f>
        <v>46281</v>
      </c>
      <c r="AZ9" s="15" t="n">
        <f aca="false">AY9+3</f>
        <v>46284</v>
      </c>
      <c r="BA9" s="15" t="n">
        <f aca="false">AZ9+2</f>
        <v>46286</v>
      </c>
      <c r="BB9" s="15" t="n">
        <f aca="false">BA9+2</f>
        <v>46288</v>
      </c>
      <c r="BC9" s="15" t="n">
        <f aca="false">BB9+3</f>
        <v>46291</v>
      </c>
      <c r="BD9" s="15" t="n">
        <f aca="false">BC9+2</f>
        <v>46293</v>
      </c>
      <c r="BE9" s="15" t="n">
        <f aca="false">BD9+2</f>
        <v>46295</v>
      </c>
      <c r="BF9" s="15" t="n">
        <f aca="false">BE9+3</f>
        <v>46298</v>
      </c>
      <c r="BG9" s="15" t="n">
        <f aca="false">BF9+2</f>
        <v>46300</v>
      </c>
      <c r="BH9" s="15" t="n">
        <f aca="false">BG9+2</f>
        <v>46302</v>
      </c>
      <c r="BI9" s="15" t="n">
        <f aca="false">BH9+3</f>
        <v>46305</v>
      </c>
      <c r="BJ9" s="15" t="n">
        <f aca="false">BI9+2</f>
        <v>46307</v>
      </c>
      <c r="BK9" s="15" t="n">
        <f aca="false">BJ9+2</f>
        <v>46309</v>
      </c>
      <c r="BL9" s="15" t="n">
        <f aca="false">BK9+3</f>
        <v>46312</v>
      </c>
      <c r="BM9" s="15" t="n">
        <f aca="false">BL9+2</f>
        <v>46314</v>
      </c>
      <c r="BN9" s="15" t="n">
        <f aca="false">BM9+2</f>
        <v>46316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41" t="n">
        <v>1</v>
      </c>
      <c r="B10" s="105" t="n">
        <v>26298</v>
      </c>
      <c r="C10" s="17" t="s">
        <v>169</v>
      </c>
      <c r="D10" s="52" t="n">
        <f aca="false">COUNTIF($G10:$BN10,D$9)</f>
        <v>34</v>
      </c>
      <c r="E10" s="17" t="n">
        <f aca="false">COUNTIF($G10:$BN10,E$9)</f>
        <v>6</v>
      </c>
      <c r="F10" s="17" t="n">
        <f aca="false">COUNTIF($G10:$BN10,F$9)</f>
        <v>0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9</v>
      </c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9</v>
      </c>
      <c r="R10" s="18" t="s">
        <v>9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10</v>
      </c>
      <c r="X10" s="18" t="s">
        <v>10</v>
      </c>
      <c r="Y10" s="18" t="s">
        <v>9</v>
      </c>
      <c r="Z10" s="18" t="s">
        <v>9</v>
      </c>
      <c r="AA10" s="18" t="s">
        <v>9</v>
      </c>
      <c r="AB10" s="18" t="s">
        <v>9</v>
      </c>
      <c r="AC10" s="18" t="s">
        <v>9</v>
      </c>
      <c r="AD10" s="18" t="s">
        <v>9</v>
      </c>
      <c r="AE10" s="18" t="s">
        <v>9</v>
      </c>
      <c r="AF10" s="18" t="s">
        <v>9</v>
      </c>
      <c r="AG10" s="18" t="s">
        <v>9</v>
      </c>
      <c r="AH10" s="18" t="s">
        <v>9</v>
      </c>
      <c r="AI10" s="18" t="s">
        <v>10</v>
      </c>
      <c r="AJ10" s="18" t="s">
        <v>9</v>
      </c>
      <c r="AK10" s="18" t="s">
        <v>9</v>
      </c>
      <c r="AL10" s="18" t="s">
        <v>9</v>
      </c>
      <c r="AM10" s="18" t="s">
        <v>10</v>
      </c>
      <c r="AN10" s="18" t="s">
        <v>9</v>
      </c>
      <c r="AO10" s="18" t="s">
        <v>9</v>
      </c>
      <c r="AP10" s="18" t="s">
        <v>9</v>
      </c>
      <c r="AQ10" s="18" t="s">
        <v>9</v>
      </c>
      <c r="AR10" s="106" t="s">
        <v>9</v>
      </c>
      <c r="AS10" s="106" t="s">
        <v>10</v>
      </c>
      <c r="AT10" s="106" t="s">
        <v>10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41" t="n">
        <v>2</v>
      </c>
      <c r="B11" s="107" t="n">
        <v>26288</v>
      </c>
      <c r="C11" s="108" t="s">
        <v>170</v>
      </c>
      <c r="D11" s="52" t="n">
        <f aca="false">COUNTIF($G11:$BN11,D$9)</f>
        <v>35</v>
      </c>
      <c r="E11" s="17" t="n">
        <f aca="false">COUNTIF($G11:$BN11,E$9)</f>
        <v>2</v>
      </c>
      <c r="F11" s="17" t="n">
        <f aca="false">COUNTIF($G11:$BN11,F$9)</f>
        <v>3</v>
      </c>
      <c r="G11" s="18" t="s">
        <v>9</v>
      </c>
      <c r="H11" s="18" t="s">
        <v>9</v>
      </c>
      <c r="I11" s="18" t="s">
        <v>9</v>
      </c>
      <c r="J11" s="18" t="s">
        <v>9</v>
      </c>
      <c r="K11" s="18" t="s">
        <v>9</v>
      </c>
      <c r="L11" s="18" t="s">
        <v>9</v>
      </c>
      <c r="M11" s="18" t="s">
        <v>9</v>
      </c>
      <c r="N11" s="18" t="s">
        <v>9</v>
      </c>
      <c r="O11" s="18" t="s">
        <v>9</v>
      </c>
      <c r="P11" s="18" t="s">
        <v>9</v>
      </c>
      <c r="Q11" s="18" t="s">
        <v>9</v>
      </c>
      <c r="R11" s="18" t="s">
        <v>9</v>
      </c>
      <c r="S11" s="18" t="s">
        <v>9</v>
      </c>
      <c r="T11" s="18" t="s">
        <v>9</v>
      </c>
      <c r="U11" s="18" t="s">
        <v>9</v>
      </c>
      <c r="V11" s="18" t="s">
        <v>11</v>
      </c>
      <c r="W11" s="18" t="s">
        <v>11</v>
      </c>
      <c r="X11" s="18" t="s">
        <v>9</v>
      </c>
      <c r="Y11" s="18" t="s">
        <v>9</v>
      </c>
      <c r="Z11" s="18" t="s">
        <v>10</v>
      </c>
      <c r="AA11" s="18" t="s">
        <v>9</v>
      </c>
      <c r="AB11" s="18" t="s">
        <v>9</v>
      </c>
      <c r="AC11" s="18" t="s">
        <v>9</v>
      </c>
      <c r="AD11" s="18" t="s">
        <v>11</v>
      </c>
      <c r="AE11" s="18" t="s">
        <v>9</v>
      </c>
      <c r="AF11" s="18" t="s">
        <v>9</v>
      </c>
      <c r="AG11" s="18" t="s">
        <v>9</v>
      </c>
      <c r="AH11" s="18" t="s">
        <v>9</v>
      </c>
      <c r="AI11" s="18" t="s">
        <v>9</v>
      </c>
      <c r="AJ11" s="18" t="s">
        <v>9</v>
      </c>
      <c r="AK11" s="18" t="s">
        <v>9</v>
      </c>
      <c r="AL11" s="18" t="s">
        <v>9</v>
      </c>
      <c r="AM11" s="18" t="s">
        <v>9</v>
      </c>
      <c r="AN11" s="18" t="s">
        <v>10</v>
      </c>
      <c r="AO11" s="18" t="s">
        <v>9</v>
      </c>
      <c r="AP11" s="18" t="s">
        <v>9</v>
      </c>
      <c r="AQ11" s="18" t="s">
        <v>9</v>
      </c>
      <c r="AR11" s="106" t="s">
        <v>9</v>
      </c>
      <c r="AS11" s="106" t="s">
        <v>9</v>
      </c>
      <c r="AT11" s="106" t="s">
        <v>9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41" t="n">
        <v>3</v>
      </c>
      <c r="B12" s="17" t="n">
        <v>26287</v>
      </c>
      <c r="C12" s="17" t="s">
        <v>171</v>
      </c>
      <c r="D12" s="52" t="n">
        <f aca="false">COUNTIF($G12:$BN12,D$9)</f>
        <v>37</v>
      </c>
      <c r="E12" s="17" t="n">
        <f aca="false">COUNTIF($G12:$BN12,E$9)</f>
        <v>3</v>
      </c>
      <c r="F12" s="17" t="n">
        <f aca="false">COUNTIF($G12:$BN12,F$9)</f>
        <v>0</v>
      </c>
      <c r="G12" s="18" t="s">
        <v>9</v>
      </c>
      <c r="H12" s="18" t="s">
        <v>9</v>
      </c>
      <c r="I12" s="18" t="s">
        <v>9</v>
      </c>
      <c r="J12" s="18" t="s">
        <v>9</v>
      </c>
      <c r="K12" s="18" t="s">
        <v>9</v>
      </c>
      <c r="L12" s="18" t="s">
        <v>9</v>
      </c>
      <c r="M12" s="18" t="s">
        <v>9</v>
      </c>
      <c r="N12" s="18" t="s">
        <v>9</v>
      </c>
      <c r="O12" s="18" t="s">
        <v>9</v>
      </c>
      <c r="P12" s="18" t="s">
        <v>9</v>
      </c>
      <c r="Q12" s="18" t="s">
        <v>9</v>
      </c>
      <c r="R12" s="18" t="s">
        <v>9</v>
      </c>
      <c r="S12" s="18" t="s">
        <v>9</v>
      </c>
      <c r="T12" s="18" t="s">
        <v>9</v>
      </c>
      <c r="U12" s="18" t="s">
        <v>9</v>
      </c>
      <c r="V12" s="18" t="s">
        <v>10</v>
      </c>
      <c r="W12" s="18" t="s">
        <v>10</v>
      </c>
      <c r="X12" s="18" t="s">
        <v>9</v>
      </c>
      <c r="Y12" s="18" t="s">
        <v>9</v>
      </c>
      <c r="Z12" s="18" t="s">
        <v>10</v>
      </c>
      <c r="AA12" s="18" t="s">
        <v>9</v>
      </c>
      <c r="AB12" s="18" t="s">
        <v>9</v>
      </c>
      <c r="AC12" s="18" t="s">
        <v>9</v>
      </c>
      <c r="AD12" s="18" t="s">
        <v>9</v>
      </c>
      <c r="AE12" s="18" t="s">
        <v>9</v>
      </c>
      <c r="AF12" s="18" t="s">
        <v>9</v>
      </c>
      <c r="AG12" s="18" t="s">
        <v>9</v>
      </c>
      <c r="AH12" s="18" t="s">
        <v>9</v>
      </c>
      <c r="AI12" s="18" t="s">
        <v>9</v>
      </c>
      <c r="AJ12" s="18" t="s">
        <v>9</v>
      </c>
      <c r="AK12" s="18" t="s">
        <v>9</v>
      </c>
      <c r="AL12" s="18" t="s">
        <v>9</v>
      </c>
      <c r="AM12" s="18" t="s">
        <v>9</v>
      </c>
      <c r="AN12" s="18" t="s">
        <v>9</v>
      </c>
      <c r="AO12" s="18" t="s">
        <v>9</v>
      </c>
      <c r="AP12" s="18" t="s">
        <v>9</v>
      </c>
      <c r="AQ12" s="18" t="s">
        <v>9</v>
      </c>
      <c r="AR12" s="106" t="s">
        <v>9</v>
      </c>
      <c r="AS12" s="106" t="s">
        <v>9</v>
      </c>
      <c r="AT12" s="106" t="s">
        <v>9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41" t="n">
        <v>4</v>
      </c>
      <c r="B13" s="17" t="n">
        <v>26295</v>
      </c>
      <c r="C13" s="17" t="s">
        <v>172</v>
      </c>
      <c r="D13" s="52" t="n">
        <f aca="false">COUNTIF($G13:$BN13,D$9)</f>
        <v>33</v>
      </c>
      <c r="E13" s="17" t="n">
        <f aca="false">COUNTIF($G13:$BN13,E$9)</f>
        <v>5</v>
      </c>
      <c r="F13" s="17" t="n">
        <f aca="false">COUNTIF($G13:$BN13,F$9)</f>
        <v>2</v>
      </c>
      <c r="G13" s="18" t="s">
        <v>9</v>
      </c>
      <c r="H13" s="18" t="s">
        <v>9</v>
      </c>
      <c r="I13" s="18" t="s">
        <v>9</v>
      </c>
      <c r="J13" s="18" t="s">
        <v>9</v>
      </c>
      <c r="K13" s="18" t="s">
        <v>9</v>
      </c>
      <c r="L13" s="18" t="s">
        <v>11</v>
      </c>
      <c r="M13" s="18" t="s">
        <v>9</v>
      </c>
      <c r="N13" s="18" t="s">
        <v>9</v>
      </c>
      <c r="O13" s="18" t="s">
        <v>10</v>
      </c>
      <c r="P13" s="18" t="s">
        <v>9</v>
      </c>
      <c r="Q13" s="18" t="s">
        <v>9</v>
      </c>
      <c r="R13" s="18" t="s">
        <v>9</v>
      </c>
      <c r="S13" s="18" t="s">
        <v>9</v>
      </c>
      <c r="T13" s="18" t="s">
        <v>9</v>
      </c>
      <c r="U13" s="18" t="s">
        <v>9</v>
      </c>
      <c r="V13" s="18" t="s">
        <v>9</v>
      </c>
      <c r="W13" s="18" t="s">
        <v>10</v>
      </c>
      <c r="X13" s="18" t="s">
        <v>9</v>
      </c>
      <c r="Y13" s="18" t="s">
        <v>9</v>
      </c>
      <c r="Z13" s="18" t="s">
        <v>10</v>
      </c>
      <c r="AA13" s="18" t="s">
        <v>9</v>
      </c>
      <c r="AB13" s="18" t="s">
        <v>9</v>
      </c>
      <c r="AC13" s="18" t="s">
        <v>9</v>
      </c>
      <c r="AD13" s="18" t="s">
        <v>9</v>
      </c>
      <c r="AE13" s="18" t="s">
        <v>11</v>
      </c>
      <c r="AF13" s="18" t="s">
        <v>9</v>
      </c>
      <c r="AG13" s="18" t="s">
        <v>9</v>
      </c>
      <c r="AH13" s="18" t="s">
        <v>9</v>
      </c>
      <c r="AI13" s="18" t="s">
        <v>9</v>
      </c>
      <c r="AJ13" s="18" t="s">
        <v>9</v>
      </c>
      <c r="AK13" s="18" t="s">
        <v>9</v>
      </c>
      <c r="AL13" s="18" t="s">
        <v>9</v>
      </c>
      <c r="AM13" s="18" t="s">
        <v>10</v>
      </c>
      <c r="AN13" s="18" t="s">
        <v>9</v>
      </c>
      <c r="AO13" s="18" t="s">
        <v>9</v>
      </c>
      <c r="AP13" s="18" t="s">
        <v>9</v>
      </c>
      <c r="AQ13" s="18" t="s">
        <v>9</v>
      </c>
      <c r="AR13" s="106" t="s">
        <v>10</v>
      </c>
      <c r="AS13" s="106" t="s">
        <v>9</v>
      </c>
      <c r="AT13" s="106" t="s">
        <v>9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41" t="n">
        <v>5</v>
      </c>
      <c r="B14" s="17" t="n">
        <v>26253</v>
      </c>
      <c r="C14" s="17" t="s">
        <v>173</v>
      </c>
      <c r="D14" s="52" t="n">
        <f aca="false">COUNTIF($G14:$BN14,D$9)</f>
        <v>32</v>
      </c>
      <c r="E14" s="17" t="n">
        <f aca="false">COUNTIF($G14:$BN14,E$9)</f>
        <v>7</v>
      </c>
      <c r="F14" s="17" t="n">
        <f aca="false">COUNTIF($G14:$BN14,F$9)</f>
        <v>0</v>
      </c>
      <c r="G14" s="18" t="s">
        <v>10</v>
      </c>
      <c r="H14" s="18" t="s">
        <v>9</v>
      </c>
      <c r="I14" s="18" t="s">
        <v>9</v>
      </c>
      <c r="J14" s="18" t="s">
        <v>9</v>
      </c>
      <c r="K14" s="18" t="s">
        <v>9</v>
      </c>
      <c r="L14" s="18" t="s">
        <v>9</v>
      </c>
      <c r="M14" s="18" t="s">
        <v>10</v>
      </c>
      <c r="N14" s="18" t="s">
        <v>10</v>
      </c>
      <c r="O14" s="18" t="s">
        <v>9</v>
      </c>
      <c r="P14" s="18" t="s">
        <v>10</v>
      </c>
      <c r="Q14" s="18" t="s">
        <v>9</v>
      </c>
      <c r="R14" s="18" t="s">
        <v>9</v>
      </c>
      <c r="S14" s="18" t="s">
        <v>9</v>
      </c>
      <c r="T14" s="18" t="s">
        <v>10</v>
      </c>
      <c r="U14" s="18" t="s">
        <v>9</v>
      </c>
      <c r="V14" s="18" t="s">
        <v>9</v>
      </c>
      <c r="W14" s="18" t="s">
        <v>9</v>
      </c>
      <c r="X14" s="18" t="s">
        <v>9</v>
      </c>
      <c r="Y14" s="18" t="s">
        <v>9</v>
      </c>
      <c r="Z14" s="18" t="s">
        <v>9</v>
      </c>
      <c r="AA14" s="18" t="s">
        <v>9</v>
      </c>
      <c r="AB14" s="18" t="s">
        <v>9</v>
      </c>
      <c r="AC14" s="18" t="s">
        <v>9</v>
      </c>
      <c r="AD14" s="18" t="s">
        <v>9</v>
      </c>
      <c r="AE14" s="18" t="s">
        <v>9</v>
      </c>
      <c r="AF14" s="18" t="s">
        <v>9</v>
      </c>
      <c r="AG14" s="18" t="s">
        <v>9</v>
      </c>
      <c r="AH14" s="18" t="s">
        <v>9</v>
      </c>
      <c r="AI14" s="18" t="s">
        <v>9</v>
      </c>
      <c r="AJ14" s="18" t="s">
        <v>9</v>
      </c>
      <c r="AK14" s="18" t="s">
        <v>9</v>
      </c>
      <c r="AL14" s="18" t="s">
        <v>9</v>
      </c>
      <c r="AM14" s="18" t="s">
        <v>9</v>
      </c>
      <c r="AN14" s="18" t="s">
        <v>10</v>
      </c>
      <c r="AO14" s="18" t="s">
        <v>9</v>
      </c>
      <c r="AP14" s="18" t="s">
        <v>9</v>
      </c>
      <c r="AQ14" s="18" t="s">
        <v>9</v>
      </c>
      <c r="AR14" s="106" t="s">
        <v>9</v>
      </c>
      <c r="AS14" s="18"/>
      <c r="AT14" s="106" t="s">
        <v>10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41" t="n">
        <v>6</v>
      </c>
      <c r="B15" s="17" t="n">
        <v>26312</v>
      </c>
      <c r="C15" s="17" t="s">
        <v>174</v>
      </c>
      <c r="D15" s="52" t="n">
        <f aca="false">COUNTIF($G15:$BN15,D$9)</f>
        <v>35</v>
      </c>
      <c r="E15" s="17" t="n">
        <f aca="false">COUNTIF($G15:$BN15,E$9)</f>
        <v>3</v>
      </c>
      <c r="F15" s="17" t="n">
        <f aca="false">COUNTIF($G15:$BN15,F$9)</f>
        <v>2</v>
      </c>
      <c r="G15" s="18" t="s">
        <v>9</v>
      </c>
      <c r="H15" s="18" t="s">
        <v>9</v>
      </c>
      <c r="I15" s="18" t="s">
        <v>9</v>
      </c>
      <c r="J15" s="18" t="s">
        <v>9</v>
      </c>
      <c r="K15" s="18" t="s">
        <v>9</v>
      </c>
      <c r="L15" s="18" t="s">
        <v>9</v>
      </c>
      <c r="M15" s="18" t="s">
        <v>9</v>
      </c>
      <c r="N15" s="18" t="s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9</v>
      </c>
      <c r="U15" s="18" t="s">
        <v>9</v>
      </c>
      <c r="V15" s="18" t="s">
        <v>9</v>
      </c>
      <c r="W15" s="18" t="s">
        <v>10</v>
      </c>
      <c r="X15" s="18" t="s">
        <v>9</v>
      </c>
      <c r="Y15" s="18" t="s">
        <v>9</v>
      </c>
      <c r="Z15" s="18" t="s">
        <v>10</v>
      </c>
      <c r="AA15" s="18" t="s">
        <v>9</v>
      </c>
      <c r="AB15" s="18" t="s">
        <v>9</v>
      </c>
      <c r="AC15" s="18" t="s">
        <v>9</v>
      </c>
      <c r="AD15" s="18" t="s">
        <v>11</v>
      </c>
      <c r="AE15" s="18" t="s">
        <v>11</v>
      </c>
      <c r="AF15" s="18" t="s">
        <v>9</v>
      </c>
      <c r="AG15" s="18" t="s">
        <v>9</v>
      </c>
      <c r="AH15" s="18" t="s">
        <v>9</v>
      </c>
      <c r="AI15" s="18" t="s">
        <v>9</v>
      </c>
      <c r="AJ15" s="18" t="s">
        <v>9</v>
      </c>
      <c r="AK15" s="18" t="s">
        <v>9</v>
      </c>
      <c r="AL15" s="18" t="s">
        <v>9</v>
      </c>
      <c r="AM15" s="18" t="s">
        <v>9</v>
      </c>
      <c r="AN15" s="18" t="s">
        <v>10</v>
      </c>
      <c r="AO15" s="18" t="s">
        <v>9</v>
      </c>
      <c r="AP15" s="18" t="s">
        <v>9</v>
      </c>
      <c r="AQ15" s="18" t="s">
        <v>9</v>
      </c>
      <c r="AR15" s="106" t="s">
        <v>9</v>
      </c>
      <c r="AS15" s="106" t="s">
        <v>9</v>
      </c>
      <c r="AT15" s="106" t="s">
        <v>9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7</v>
      </c>
      <c r="B16" s="46" t="n">
        <v>26300</v>
      </c>
      <c r="C16" s="46" t="s">
        <v>175</v>
      </c>
      <c r="D16" s="17" t="n">
        <f aca="false">COUNTIF($G16:$BN16,D$9)</f>
        <v>16</v>
      </c>
      <c r="E16" s="17" t="n">
        <f aca="false">COUNTIF($G16:$BN16,E$9)</f>
        <v>23</v>
      </c>
      <c r="F16" s="17" t="n">
        <f aca="false">COUNTIF($G16:$BN16,F$9)</f>
        <v>1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 t="s">
        <v>9</v>
      </c>
      <c r="M16" s="18" t="s">
        <v>9</v>
      </c>
      <c r="N16" s="18" t="s">
        <v>9</v>
      </c>
      <c r="O16" s="18" t="s">
        <v>9</v>
      </c>
      <c r="P16" s="18" t="s">
        <v>9</v>
      </c>
      <c r="Q16" s="18" t="s">
        <v>9</v>
      </c>
      <c r="R16" s="18" t="s">
        <v>9</v>
      </c>
      <c r="S16" s="18" t="s">
        <v>9</v>
      </c>
      <c r="T16" s="18" t="s">
        <v>9</v>
      </c>
      <c r="U16" s="18" t="s">
        <v>10</v>
      </c>
      <c r="V16" s="18" t="s">
        <v>9</v>
      </c>
      <c r="W16" s="18" t="s">
        <v>9</v>
      </c>
      <c r="X16" s="18" t="s">
        <v>10</v>
      </c>
      <c r="Y16" s="18" t="s">
        <v>10</v>
      </c>
      <c r="Z16" s="18" t="s">
        <v>10</v>
      </c>
      <c r="AA16" s="18" t="s">
        <v>10</v>
      </c>
      <c r="AB16" s="18" t="s">
        <v>10</v>
      </c>
      <c r="AC16" s="18" t="s">
        <v>10</v>
      </c>
      <c r="AD16" s="18" t="s">
        <v>10</v>
      </c>
      <c r="AE16" s="18" t="s">
        <v>10</v>
      </c>
      <c r="AF16" s="18" t="s">
        <v>10</v>
      </c>
      <c r="AG16" s="18" t="s">
        <v>10</v>
      </c>
      <c r="AH16" s="18" t="s">
        <v>10</v>
      </c>
      <c r="AI16" s="18" t="s">
        <v>10</v>
      </c>
      <c r="AJ16" s="18" t="s">
        <v>10</v>
      </c>
      <c r="AK16" s="18" t="s">
        <v>10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06" t="s">
        <v>11</v>
      </c>
      <c r="AS16" s="106" t="s">
        <v>10</v>
      </c>
      <c r="AT16" s="106" t="s">
        <v>10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8</v>
      </c>
      <c r="B17" s="17" t="n">
        <v>26299</v>
      </c>
      <c r="C17" s="17" t="s">
        <v>176</v>
      </c>
      <c r="D17" s="17" t="n">
        <f aca="false">COUNTIF($G17:$BN17,D$9)</f>
        <v>32</v>
      </c>
      <c r="E17" s="17" t="n">
        <f aca="false">COUNTIF($G17:$BN17,E$9)</f>
        <v>5</v>
      </c>
      <c r="F17" s="17" t="n">
        <f aca="false">COUNTIF($G17:$BN17,F$9)</f>
        <v>3</v>
      </c>
      <c r="G17" s="18" t="s">
        <v>9</v>
      </c>
      <c r="H17" s="18" t="s">
        <v>9</v>
      </c>
      <c r="I17" s="18" t="s">
        <v>9</v>
      </c>
      <c r="J17" s="18" t="s">
        <v>9</v>
      </c>
      <c r="K17" s="18" t="s">
        <v>9</v>
      </c>
      <c r="L17" s="18" t="s">
        <v>9</v>
      </c>
      <c r="M17" s="18" t="s">
        <v>9</v>
      </c>
      <c r="N17" s="18" t="s">
        <v>9</v>
      </c>
      <c r="O17" s="18" t="s">
        <v>9</v>
      </c>
      <c r="P17" s="18" t="s">
        <v>9</v>
      </c>
      <c r="Q17" s="18" t="s">
        <v>9</v>
      </c>
      <c r="R17" s="18" t="s">
        <v>9</v>
      </c>
      <c r="S17" s="18" t="s">
        <v>9</v>
      </c>
      <c r="T17" s="18" t="s">
        <v>9</v>
      </c>
      <c r="U17" s="18" t="s">
        <v>10</v>
      </c>
      <c r="V17" s="18" t="s">
        <v>9</v>
      </c>
      <c r="W17" s="18" t="s">
        <v>9</v>
      </c>
      <c r="X17" s="18" t="s">
        <v>10</v>
      </c>
      <c r="Y17" s="18" t="s">
        <v>9</v>
      </c>
      <c r="Z17" s="18" t="s">
        <v>9</v>
      </c>
      <c r="AA17" s="18" t="s">
        <v>9</v>
      </c>
      <c r="AB17" s="18" t="s">
        <v>11</v>
      </c>
      <c r="AC17" s="18" t="s">
        <v>9</v>
      </c>
      <c r="AD17" s="18" t="s">
        <v>9</v>
      </c>
      <c r="AE17" s="18" t="s">
        <v>9</v>
      </c>
      <c r="AF17" s="18" t="s">
        <v>11</v>
      </c>
      <c r="AG17" s="18" t="s">
        <v>9</v>
      </c>
      <c r="AH17" s="18" t="s">
        <v>9</v>
      </c>
      <c r="AI17" s="18" t="s">
        <v>9</v>
      </c>
      <c r="AJ17" s="18" t="s">
        <v>9</v>
      </c>
      <c r="AK17" s="18" t="s">
        <v>9</v>
      </c>
      <c r="AL17" s="18" t="s">
        <v>11</v>
      </c>
      <c r="AM17" s="18" t="s">
        <v>9</v>
      </c>
      <c r="AN17" s="18" t="s">
        <v>9</v>
      </c>
      <c r="AO17" s="18" t="s">
        <v>9</v>
      </c>
      <c r="AP17" s="18" t="s">
        <v>9</v>
      </c>
      <c r="AQ17" s="18" t="s">
        <v>9</v>
      </c>
      <c r="AR17" s="106" t="s">
        <v>10</v>
      </c>
      <c r="AS17" s="106" t="s">
        <v>10</v>
      </c>
      <c r="AT17" s="106" t="s">
        <v>10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9</v>
      </c>
      <c r="B18" s="109" t="n">
        <v>26304</v>
      </c>
      <c r="C18" s="17" t="s">
        <v>177</v>
      </c>
      <c r="D18" s="17" t="n">
        <f aca="false">COUNTIF($G18:$BN18,D$9)</f>
        <v>37</v>
      </c>
      <c r="E18" s="17" t="n">
        <f aca="false">COUNTIF($G18:$BN18,E$9)</f>
        <v>3</v>
      </c>
      <c r="F18" s="17" t="n">
        <f aca="false">COUNTIF($G18:$BN18,F$9)</f>
        <v>0</v>
      </c>
      <c r="G18" s="18" t="s">
        <v>9</v>
      </c>
      <c r="H18" s="18" t="s">
        <v>9</v>
      </c>
      <c r="I18" s="18" t="s">
        <v>9</v>
      </c>
      <c r="J18" s="18" t="s">
        <v>9</v>
      </c>
      <c r="K18" s="18" t="s">
        <v>9</v>
      </c>
      <c r="L18" s="18" t="s">
        <v>9</v>
      </c>
      <c r="M18" s="18" t="s">
        <v>9</v>
      </c>
      <c r="N18" s="18" t="s">
        <v>9</v>
      </c>
      <c r="O18" s="18" t="s">
        <v>9</v>
      </c>
      <c r="P18" s="18" t="s">
        <v>9</v>
      </c>
      <c r="Q18" s="18" t="s">
        <v>9</v>
      </c>
      <c r="R18" s="18" t="s">
        <v>9</v>
      </c>
      <c r="S18" s="18" t="s">
        <v>9</v>
      </c>
      <c r="T18" s="18" t="s">
        <v>9</v>
      </c>
      <c r="U18" s="18" t="s">
        <v>9</v>
      </c>
      <c r="V18" s="18" t="s">
        <v>10</v>
      </c>
      <c r="W18" s="18" t="s">
        <v>10</v>
      </c>
      <c r="X18" s="18" t="s">
        <v>9</v>
      </c>
      <c r="Y18" s="18" t="s">
        <v>10</v>
      </c>
      <c r="Z18" s="18" t="s">
        <v>9</v>
      </c>
      <c r="AA18" s="18" t="s">
        <v>9</v>
      </c>
      <c r="AB18" s="18" t="s">
        <v>9</v>
      </c>
      <c r="AC18" s="18" t="s">
        <v>9</v>
      </c>
      <c r="AD18" s="18" t="s">
        <v>9</v>
      </c>
      <c r="AE18" s="18" t="s">
        <v>9</v>
      </c>
      <c r="AF18" s="18" t="s">
        <v>9</v>
      </c>
      <c r="AG18" s="18" t="s">
        <v>9</v>
      </c>
      <c r="AH18" s="18" t="s">
        <v>9</v>
      </c>
      <c r="AI18" s="18" t="s">
        <v>9</v>
      </c>
      <c r="AJ18" s="18" t="s">
        <v>9</v>
      </c>
      <c r="AK18" s="18" t="s">
        <v>9</v>
      </c>
      <c r="AL18" s="18" t="s">
        <v>9</v>
      </c>
      <c r="AM18" s="18" t="s">
        <v>9</v>
      </c>
      <c r="AN18" s="18" t="s">
        <v>9</v>
      </c>
      <c r="AO18" s="18" t="s">
        <v>9</v>
      </c>
      <c r="AP18" s="18" t="s">
        <v>9</v>
      </c>
      <c r="AQ18" s="18" t="s">
        <v>9</v>
      </c>
      <c r="AR18" s="106" t="s">
        <v>9</v>
      </c>
      <c r="AS18" s="106" t="s">
        <v>9</v>
      </c>
      <c r="AT18" s="106" t="s">
        <v>9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10</v>
      </c>
      <c r="B19" s="17" t="n">
        <v>26305</v>
      </c>
      <c r="C19" s="110" t="s">
        <v>178</v>
      </c>
      <c r="D19" s="17" t="n">
        <f aca="false">COUNTIF($G19:$BN19,D$9)</f>
        <v>6</v>
      </c>
      <c r="E19" s="17" t="n">
        <f aca="false">COUNTIF($G19:$BN19,E$9)</f>
        <v>30</v>
      </c>
      <c r="F19" s="17" t="n">
        <f aca="false">COUNTIF($G19:$BN19,F$9)</f>
        <v>4</v>
      </c>
      <c r="G19" s="18" t="s">
        <v>9</v>
      </c>
      <c r="H19" s="18" t="s">
        <v>9</v>
      </c>
      <c r="I19" s="18" t="s">
        <v>9</v>
      </c>
      <c r="J19" s="18" t="s">
        <v>9</v>
      </c>
      <c r="K19" s="18" t="s">
        <v>9</v>
      </c>
      <c r="L19" s="18" t="s">
        <v>9</v>
      </c>
      <c r="M19" s="18" t="s">
        <v>10</v>
      </c>
      <c r="N19" s="18" t="s">
        <v>10</v>
      </c>
      <c r="O19" s="18" t="s">
        <v>10</v>
      </c>
      <c r="P19" s="18" t="s">
        <v>10</v>
      </c>
      <c r="Q19" s="18" t="s">
        <v>10</v>
      </c>
      <c r="R19" s="18" t="s">
        <v>10</v>
      </c>
      <c r="S19" s="18" t="s">
        <v>10</v>
      </c>
      <c r="T19" s="18" t="s">
        <v>10</v>
      </c>
      <c r="U19" s="18" t="s">
        <v>10</v>
      </c>
      <c r="V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A19" s="18" t="s">
        <v>10</v>
      </c>
      <c r="AB19" s="18" t="s">
        <v>10</v>
      </c>
      <c r="AC19" s="18" t="s">
        <v>10</v>
      </c>
      <c r="AD19" s="18" t="s">
        <v>10</v>
      </c>
      <c r="AE19" s="18" t="s">
        <v>10</v>
      </c>
      <c r="AF19" s="18" t="s">
        <v>10</v>
      </c>
      <c r="AG19" s="18" t="s">
        <v>10</v>
      </c>
      <c r="AH19" s="18" t="s">
        <v>10</v>
      </c>
      <c r="AI19" s="18" t="s">
        <v>10</v>
      </c>
      <c r="AJ19" s="18" t="s">
        <v>10</v>
      </c>
      <c r="AK19" s="18" t="s">
        <v>10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06" t="s">
        <v>11</v>
      </c>
      <c r="AR19" s="106" t="s">
        <v>11</v>
      </c>
      <c r="AS19" s="106" t="s">
        <v>11</v>
      </c>
      <c r="AT19" s="106" t="s">
        <v>11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11</v>
      </c>
      <c r="B20" s="17" t="n">
        <v>26313</v>
      </c>
      <c r="C20" s="17" t="s">
        <v>179</v>
      </c>
      <c r="D20" s="17" t="n">
        <f aca="false">COUNTIF($G20:$BN20,D$9)</f>
        <v>36</v>
      </c>
      <c r="E20" s="17" t="n">
        <f aca="false">COUNTIF($G20:$BN20,E$9)</f>
        <v>4</v>
      </c>
      <c r="F20" s="17" t="n">
        <f aca="false">COUNTIF($G20:$BN20,F$9)</f>
        <v>0</v>
      </c>
      <c r="G20" s="18" t="s">
        <v>10</v>
      </c>
      <c r="H20" s="18" t="s">
        <v>9</v>
      </c>
      <c r="I20" s="18" t="s">
        <v>9</v>
      </c>
      <c r="J20" s="18" t="s">
        <v>9</v>
      </c>
      <c r="K20" s="18" t="s">
        <v>9</v>
      </c>
      <c r="L20" s="18" t="s">
        <v>9</v>
      </c>
      <c r="M20" s="18" t="s">
        <v>9</v>
      </c>
      <c r="N20" s="18" t="s">
        <v>9</v>
      </c>
      <c r="O20" s="18" t="s">
        <v>9</v>
      </c>
      <c r="P20" s="18" t="s">
        <v>9</v>
      </c>
      <c r="Q20" s="18" t="s">
        <v>10</v>
      </c>
      <c r="R20" s="18" t="s">
        <v>9</v>
      </c>
      <c r="S20" s="18" t="s">
        <v>9</v>
      </c>
      <c r="T20" s="18" t="s">
        <v>9</v>
      </c>
      <c r="U20" s="18" t="s">
        <v>9</v>
      </c>
      <c r="V20" s="18" t="s">
        <v>9</v>
      </c>
      <c r="W20" s="18" t="s">
        <v>10</v>
      </c>
      <c r="X20" s="18" t="s">
        <v>9</v>
      </c>
      <c r="Y20" s="18" t="s">
        <v>9</v>
      </c>
      <c r="Z20" s="18" t="s">
        <v>10</v>
      </c>
      <c r="AA20" s="18" t="s">
        <v>9</v>
      </c>
      <c r="AB20" s="18" t="s">
        <v>9</v>
      </c>
      <c r="AC20" s="18" t="s">
        <v>9</v>
      </c>
      <c r="AD20" s="18" t="s">
        <v>9</v>
      </c>
      <c r="AE20" s="18" t="s">
        <v>9</v>
      </c>
      <c r="AF20" s="18" t="s">
        <v>9</v>
      </c>
      <c r="AG20" s="18" t="s">
        <v>9</v>
      </c>
      <c r="AH20" s="18" t="s">
        <v>9</v>
      </c>
      <c r="AI20" s="18" t="s">
        <v>9</v>
      </c>
      <c r="AJ20" s="18" t="s">
        <v>9</v>
      </c>
      <c r="AK20" s="18" t="s">
        <v>9</v>
      </c>
      <c r="AL20" s="18" t="s">
        <v>9</v>
      </c>
      <c r="AM20" s="18" t="s">
        <v>9</v>
      </c>
      <c r="AN20" s="18" t="s">
        <v>9</v>
      </c>
      <c r="AO20" s="18" t="s">
        <v>9</v>
      </c>
      <c r="AP20" s="106" t="s">
        <v>9</v>
      </c>
      <c r="AQ20" s="18" t="s">
        <v>9</v>
      </c>
      <c r="AR20" s="106" t="s">
        <v>9</v>
      </c>
      <c r="AS20" s="106" t="s">
        <v>9</v>
      </c>
      <c r="AT20" s="106" t="s">
        <v>9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12</v>
      </c>
      <c r="B21" s="17" t="n">
        <v>26307</v>
      </c>
      <c r="C21" s="17" t="s">
        <v>180</v>
      </c>
      <c r="D21" s="17" t="n">
        <f aca="false">COUNTIF($G21:$BN21,D$9)</f>
        <v>30</v>
      </c>
      <c r="E21" s="17" t="n">
        <f aca="false">COUNTIF($G21:$BN21,E$9)</f>
        <v>10</v>
      </c>
      <c r="F21" s="17" t="n">
        <f aca="false">COUNTIF($G21:$BN21,F$9)</f>
        <v>0</v>
      </c>
      <c r="G21" s="18" t="s">
        <v>9</v>
      </c>
      <c r="H21" s="18" t="s">
        <v>9</v>
      </c>
      <c r="I21" s="18" t="s">
        <v>9</v>
      </c>
      <c r="J21" s="18" t="s">
        <v>9</v>
      </c>
      <c r="K21" s="18" t="s">
        <v>9</v>
      </c>
      <c r="L21" s="18" t="s">
        <v>9</v>
      </c>
      <c r="M21" s="18" t="s">
        <v>10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9</v>
      </c>
      <c r="S21" s="18" t="s">
        <v>9</v>
      </c>
      <c r="T21" s="18" t="s">
        <v>9</v>
      </c>
      <c r="U21" s="18" t="s">
        <v>9</v>
      </c>
      <c r="V21" s="18" t="s">
        <v>10</v>
      </c>
      <c r="W21" s="18" t="s">
        <v>10</v>
      </c>
      <c r="X21" s="18" t="s">
        <v>9</v>
      </c>
      <c r="Y21" s="18" t="s">
        <v>9</v>
      </c>
      <c r="Z21" s="18" t="s">
        <v>9</v>
      </c>
      <c r="AA21" s="18" t="s">
        <v>9</v>
      </c>
      <c r="AB21" s="18" t="s">
        <v>9</v>
      </c>
      <c r="AC21" s="18" t="s">
        <v>9</v>
      </c>
      <c r="AD21" s="18" t="s">
        <v>9</v>
      </c>
      <c r="AE21" s="18" t="s">
        <v>9</v>
      </c>
      <c r="AF21" s="18" t="s">
        <v>9</v>
      </c>
      <c r="AG21" s="18" t="s">
        <v>9</v>
      </c>
      <c r="AH21" s="18" t="s">
        <v>9</v>
      </c>
      <c r="AI21" s="18" t="s">
        <v>9</v>
      </c>
      <c r="AJ21" s="18" t="s">
        <v>9</v>
      </c>
      <c r="AK21" s="18" t="s">
        <v>10</v>
      </c>
      <c r="AL21" s="18" t="s">
        <v>10</v>
      </c>
      <c r="AM21" s="18" t="s">
        <v>9</v>
      </c>
      <c r="AN21" s="18" t="s">
        <v>9</v>
      </c>
      <c r="AO21" s="18" t="s">
        <v>9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06" t="s">
        <v>10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26" t="n">
        <v>13</v>
      </c>
      <c r="B22" s="26" t="n">
        <v>26308</v>
      </c>
      <c r="C22" s="111" t="s">
        <v>181</v>
      </c>
      <c r="D22" s="26" t="n">
        <f aca="false">COUNTIF($G22:$BN22,D$9)</f>
        <v>35</v>
      </c>
      <c r="E22" s="26" t="n">
        <f aca="false">COUNTIF($G22:$BN22,E$9)</f>
        <v>5</v>
      </c>
      <c r="F22" s="26" t="n">
        <f aca="false">COUNTIF($G22:$BN22,F$9)</f>
        <v>0</v>
      </c>
      <c r="G22" s="29" t="s">
        <v>9</v>
      </c>
      <c r="H22" s="29" t="s">
        <v>9</v>
      </c>
      <c r="I22" s="29" t="s">
        <v>9</v>
      </c>
      <c r="J22" s="29" t="s">
        <v>9</v>
      </c>
      <c r="K22" s="29" t="s">
        <v>9</v>
      </c>
      <c r="L22" s="29" t="s">
        <v>9</v>
      </c>
      <c r="M22" s="29" t="s">
        <v>10</v>
      </c>
      <c r="N22" s="29" t="s">
        <v>9</v>
      </c>
      <c r="O22" s="29" t="s">
        <v>9</v>
      </c>
      <c r="P22" s="29" t="s">
        <v>9</v>
      </c>
      <c r="Q22" s="29" t="s">
        <v>9</v>
      </c>
      <c r="R22" s="29" t="s">
        <v>9</v>
      </c>
      <c r="S22" s="29" t="s">
        <v>9</v>
      </c>
      <c r="T22" s="29" t="s">
        <v>9</v>
      </c>
      <c r="U22" s="29" t="s">
        <v>9</v>
      </c>
      <c r="V22" s="29" t="s">
        <v>9</v>
      </c>
      <c r="W22" s="29" t="s">
        <v>9</v>
      </c>
      <c r="X22" s="29" t="s">
        <v>9</v>
      </c>
      <c r="Y22" s="29" t="s">
        <v>9</v>
      </c>
      <c r="Z22" s="29" t="s">
        <v>9</v>
      </c>
      <c r="AA22" s="29" t="s">
        <v>9</v>
      </c>
      <c r="AB22" s="29" t="s">
        <v>9</v>
      </c>
      <c r="AC22" s="29" t="s">
        <v>9</v>
      </c>
      <c r="AD22" s="29" t="s">
        <v>9</v>
      </c>
      <c r="AE22" s="29" t="s">
        <v>9</v>
      </c>
      <c r="AF22" s="29" t="s">
        <v>9</v>
      </c>
      <c r="AG22" s="29" t="s">
        <v>9</v>
      </c>
      <c r="AH22" s="29" t="s">
        <v>9</v>
      </c>
      <c r="AI22" s="29" t="s">
        <v>9</v>
      </c>
      <c r="AJ22" s="29" t="s">
        <v>9</v>
      </c>
      <c r="AK22" s="29" t="s">
        <v>9</v>
      </c>
      <c r="AL22" s="29" t="s">
        <v>9</v>
      </c>
      <c r="AM22" s="29" t="s">
        <v>9</v>
      </c>
      <c r="AN22" s="29" t="s">
        <v>9</v>
      </c>
      <c r="AO22" s="29" t="s">
        <v>9</v>
      </c>
      <c r="AP22" s="18" t="s">
        <v>10</v>
      </c>
      <c r="AQ22" s="29" t="s">
        <v>10</v>
      </c>
      <c r="AR22" s="18" t="s">
        <v>10</v>
      </c>
      <c r="AS22" s="112" t="s">
        <v>9</v>
      </c>
      <c r="AT22" s="112" t="s">
        <v>10</v>
      </c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</row>
    <row r="23" customFormat="false" ht="15.75" hidden="false" customHeight="true" outlineLevel="0" collapsed="false">
      <c r="A23" s="85" t="n">
        <v>14</v>
      </c>
      <c r="B23" s="85" t="n">
        <v>26330</v>
      </c>
      <c r="C23" s="113" t="s">
        <v>182</v>
      </c>
      <c r="D23" s="85" t="n">
        <f aca="false">COUNTIF($G23:$BN23,D$9)</f>
        <v>26</v>
      </c>
      <c r="E23" s="85" t="n">
        <f aca="false">COUNTIF($G23:$BN23,E$9)</f>
        <v>4</v>
      </c>
      <c r="F23" s="85" t="n">
        <f aca="false">COUNTIF($G23:$BN23,F$9)</f>
        <v>0</v>
      </c>
      <c r="G23" s="89"/>
      <c r="H23" s="89"/>
      <c r="I23" s="89"/>
      <c r="J23" s="89"/>
      <c r="K23" s="89"/>
      <c r="L23" s="89"/>
      <c r="M23" s="89"/>
      <c r="N23" s="89"/>
      <c r="O23" s="89"/>
      <c r="P23" s="89" t="s">
        <v>9</v>
      </c>
      <c r="Q23" s="89" t="s">
        <v>9</v>
      </c>
      <c r="R23" s="89" t="s">
        <v>9</v>
      </c>
      <c r="S23" s="89" t="s">
        <v>9</v>
      </c>
      <c r="T23" s="89" t="s">
        <v>9</v>
      </c>
      <c r="U23" s="89" t="s">
        <v>10</v>
      </c>
      <c r="V23" s="89" t="s">
        <v>9</v>
      </c>
      <c r="W23" s="89" t="s">
        <v>10</v>
      </c>
      <c r="X23" s="89" t="s">
        <v>9</v>
      </c>
      <c r="Y23" s="89" t="s">
        <v>9</v>
      </c>
      <c r="Z23" s="89" t="s">
        <v>10</v>
      </c>
      <c r="AA23" s="89" t="s">
        <v>9</v>
      </c>
      <c r="AB23" s="89" t="s">
        <v>9</v>
      </c>
      <c r="AC23" s="89" t="s">
        <v>9</v>
      </c>
      <c r="AD23" s="89" t="s">
        <v>9</v>
      </c>
      <c r="AE23" s="89" t="s">
        <v>9</v>
      </c>
      <c r="AF23" s="89" t="s">
        <v>9</v>
      </c>
      <c r="AG23" s="89" t="s">
        <v>9</v>
      </c>
      <c r="AH23" s="89" t="s">
        <v>9</v>
      </c>
      <c r="AI23" s="89" t="s">
        <v>9</v>
      </c>
      <c r="AJ23" s="89" t="s">
        <v>9</v>
      </c>
      <c r="AK23" s="89" t="s">
        <v>10</v>
      </c>
      <c r="AL23" s="89" t="s">
        <v>9</v>
      </c>
      <c r="AM23" s="89" t="s">
        <v>9</v>
      </c>
      <c r="AN23" s="89" t="s">
        <v>9</v>
      </c>
      <c r="AO23" s="89" t="s">
        <v>9</v>
      </c>
      <c r="AP23" s="114" t="s">
        <v>9</v>
      </c>
      <c r="AQ23" s="89" t="s">
        <v>9</v>
      </c>
      <c r="AR23" s="89"/>
      <c r="AS23" s="114" t="s">
        <v>9</v>
      </c>
      <c r="AT23" s="114" t="s">
        <v>9</v>
      </c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</row>
    <row r="24" customFormat="false" ht="15.75" hidden="false" customHeight="true" outlineLevel="0" collapsed="false">
      <c r="A24" s="17" t="n">
        <v>15</v>
      </c>
      <c r="B24" s="17" t="n">
        <v>25126</v>
      </c>
      <c r="C24" s="17" t="s">
        <v>183</v>
      </c>
      <c r="D24" s="17" t="n">
        <f aca="false">COUNTIF($G24:$BN24,D$9)</f>
        <v>3</v>
      </c>
      <c r="E24" s="17" t="n">
        <f aca="false">COUNTIF($G24:$BN24,E$9)</f>
        <v>0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9</v>
      </c>
      <c r="AS24" s="106" t="s">
        <v>9</v>
      </c>
      <c r="AT24" s="106" t="s">
        <v>9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 t="n">
        <v>16</v>
      </c>
      <c r="B25" s="17"/>
      <c r="C25" s="110"/>
      <c r="D25" s="17"/>
      <c r="E25" s="17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 t="n">
        <v>17</v>
      </c>
      <c r="B26" s="17"/>
      <c r="C26" s="110"/>
      <c r="D26" s="17"/>
      <c r="E26" s="17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15" t="n">
        <v>18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7:BN7" type="list">
      <formula1>"SHAKIL,JIHAD,SOFIQUL ISLAM,NAZRUL ISLAM"</formula1>
      <formula2>0</formula2>
    </dataValidation>
    <dataValidation allowBlank="true" errorStyle="stop" operator="between" showDropDown="false" showErrorMessage="true" showInputMessage="false" sqref="G10:BN26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13.63"/>
    <col collapsed="false" customWidth="true" hidden="false" outlineLevel="0" max="3" min="3" style="0" width="29.75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G2" s="3" t="s">
        <v>184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46194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46349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72</v>
      </c>
      <c r="H7" s="9" t="s">
        <v>72</v>
      </c>
      <c r="I7" s="9" t="s">
        <v>72</v>
      </c>
      <c r="J7" s="9" t="s">
        <v>72</v>
      </c>
      <c r="K7" s="9" t="s">
        <v>72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72</v>
      </c>
      <c r="V7" s="9" t="s">
        <v>5</v>
      </c>
      <c r="W7" s="9" t="s">
        <v>5</v>
      </c>
      <c r="X7" s="9" t="s">
        <v>125</v>
      </c>
      <c r="Y7" s="9" t="s">
        <v>125</v>
      </c>
      <c r="Z7" s="9" t="s">
        <v>125</v>
      </c>
      <c r="AA7" s="9" t="s">
        <v>125</v>
      </c>
      <c r="AB7" s="9" t="s">
        <v>125</v>
      </c>
      <c r="AC7" s="9" t="s">
        <v>125</v>
      </c>
      <c r="AD7" s="9" t="s">
        <v>5</v>
      </c>
      <c r="AE7" s="9" t="s">
        <v>125</v>
      </c>
      <c r="AF7" s="9" t="s">
        <v>125</v>
      </c>
      <c r="AG7" s="9" t="s">
        <v>125</v>
      </c>
      <c r="AH7" s="9" t="s">
        <v>125</v>
      </c>
      <c r="AI7" s="9" t="s">
        <v>5</v>
      </c>
      <c r="AJ7" s="9" t="s">
        <v>125</v>
      </c>
      <c r="AK7" s="9" t="s">
        <v>125</v>
      </c>
      <c r="AL7" s="9" t="s">
        <v>5</v>
      </c>
      <c r="AM7" s="9" t="s">
        <v>90</v>
      </c>
      <c r="AN7" s="9" t="s">
        <v>90</v>
      </c>
      <c r="AO7" s="9" t="s">
        <v>125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46194</v>
      </c>
      <c r="H9" s="15" t="n">
        <f aca="false">G9+2</f>
        <v>46196</v>
      </c>
      <c r="I9" s="15" t="n">
        <f aca="false">H9+2</f>
        <v>46198</v>
      </c>
      <c r="J9" s="15" t="n">
        <f aca="false">I9+3</f>
        <v>46201</v>
      </c>
      <c r="K9" s="15" t="n">
        <f aca="false">J9+2</f>
        <v>46203</v>
      </c>
      <c r="L9" s="15" t="n">
        <f aca="false">K9+2</f>
        <v>46205</v>
      </c>
      <c r="M9" s="15" t="n">
        <f aca="false">L9+3</f>
        <v>46208</v>
      </c>
      <c r="N9" s="15" t="n">
        <f aca="false">M9+2</f>
        <v>46210</v>
      </c>
      <c r="O9" s="15" t="n">
        <f aca="false">N9+2</f>
        <v>46212</v>
      </c>
      <c r="P9" s="15" t="n">
        <f aca="false">O9+3</f>
        <v>46215</v>
      </c>
      <c r="Q9" s="15" t="n">
        <f aca="false">P9+2</f>
        <v>46217</v>
      </c>
      <c r="R9" s="15" t="n">
        <f aca="false">Q9+2</f>
        <v>46219</v>
      </c>
      <c r="S9" s="15" t="n">
        <f aca="false">R9+3</f>
        <v>46222</v>
      </c>
      <c r="T9" s="15" t="n">
        <f aca="false">S9+2</f>
        <v>46224</v>
      </c>
      <c r="U9" s="15" t="n">
        <f aca="false">T9+2</f>
        <v>46226</v>
      </c>
      <c r="V9" s="15" t="n">
        <f aca="false">U9+3</f>
        <v>46229</v>
      </c>
      <c r="W9" s="15" t="n">
        <f aca="false">V9+2</f>
        <v>46231</v>
      </c>
      <c r="X9" s="15" t="n">
        <f aca="false">W9+2</f>
        <v>46233</v>
      </c>
      <c r="Y9" s="15" t="n">
        <f aca="false">X9+3</f>
        <v>46236</v>
      </c>
      <c r="Z9" s="15" t="n">
        <f aca="false">Y9+2</f>
        <v>46238</v>
      </c>
      <c r="AA9" s="15" t="n">
        <f aca="false">Z9+2</f>
        <v>46240</v>
      </c>
      <c r="AB9" s="15" t="n">
        <f aca="false">AA9+3</f>
        <v>46243</v>
      </c>
      <c r="AC9" s="15" t="n">
        <f aca="false">AB9+2</f>
        <v>46245</v>
      </c>
      <c r="AD9" s="15" t="n">
        <f aca="false">AC9+2</f>
        <v>46247</v>
      </c>
      <c r="AE9" s="15" t="n">
        <f aca="false">AD9+3</f>
        <v>46250</v>
      </c>
      <c r="AF9" s="15" t="n">
        <f aca="false">AE9+2</f>
        <v>46252</v>
      </c>
      <c r="AG9" s="15" t="n">
        <f aca="false">AF9+2</f>
        <v>46254</v>
      </c>
      <c r="AH9" s="15" t="n">
        <f aca="false">AG9+3</f>
        <v>46257</v>
      </c>
      <c r="AI9" s="15" t="n">
        <f aca="false">AH9+2</f>
        <v>46259</v>
      </c>
      <c r="AJ9" s="15" t="n">
        <f aca="false">AI9+2</f>
        <v>46261</v>
      </c>
      <c r="AK9" s="15" t="n">
        <f aca="false">AJ9+3</f>
        <v>46264</v>
      </c>
      <c r="AL9" s="15" t="n">
        <f aca="false">AK9+2</f>
        <v>46266</v>
      </c>
      <c r="AM9" s="15" t="n">
        <f aca="false">AL9+2</f>
        <v>46268</v>
      </c>
      <c r="AN9" s="15" t="n">
        <f aca="false">AM9+3</f>
        <v>46271</v>
      </c>
      <c r="AO9" s="15" t="n">
        <f aca="false">AN9+2</f>
        <v>46273</v>
      </c>
      <c r="AP9" s="15" t="n">
        <f aca="false">AO9+2</f>
        <v>46275</v>
      </c>
      <c r="AQ9" s="15" t="n">
        <f aca="false">AP9+3</f>
        <v>46278</v>
      </c>
      <c r="AR9" s="15" t="n">
        <f aca="false">AQ9+2</f>
        <v>46280</v>
      </c>
      <c r="AS9" s="15" t="n">
        <f aca="false">AR9+2</f>
        <v>46282</v>
      </c>
      <c r="AT9" s="15" t="n">
        <f aca="false">AS9+3</f>
        <v>46285</v>
      </c>
      <c r="AU9" s="15" t="n">
        <f aca="false">AT9+2</f>
        <v>46287</v>
      </c>
      <c r="AV9" s="15" t="n">
        <f aca="false">AU9+2</f>
        <v>46289</v>
      </c>
      <c r="AW9" s="15" t="n">
        <f aca="false">AV9+3</f>
        <v>46292</v>
      </c>
      <c r="AX9" s="15" t="n">
        <f aca="false">AW9+2</f>
        <v>46294</v>
      </c>
      <c r="AY9" s="15" t="n">
        <f aca="false">AX9+2</f>
        <v>46296</v>
      </c>
      <c r="AZ9" s="15" t="n">
        <f aca="false">AY9+3</f>
        <v>46299</v>
      </c>
      <c r="BA9" s="15" t="n">
        <f aca="false">AZ9+2</f>
        <v>46301</v>
      </c>
      <c r="BB9" s="15" t="n">
        <f aca="false">BA9+2</f>
        <v>46303</v>
      </c>
      <c r="BC9" s="15" t="n">
        <f aca="false">BB9+3</f>
        <v>46306</v>
      </c>
      <c r="BD9" s="15" t="n">
        <f aca="false">BC9+2</f>
        <v>46308</v>
      </c>
      <c r="BE9" s="15" t="n">
        <f aca="false">BD9+2</f>
        <v>46310</v>
      </c>
      <c r="BF9" s="15" t="n">
        <f aca="false">BE9+3</f>
        <v>46313</v>
      </c>
      <c r="BG9" s="15" t="n">
        <f aca="false">BF9+2</f>
        <v>46315</v>
      </c>
      <c r="BH9" s="15" t="n">
        <f aca="false">BG9+2</f>
        <v>46317</v>
      </c>
      <c r="BI9" s="15" t="n">
        <f aca="false">BH9+3</f>
        <v>46320</v>
      </c>
      <c r="BJ9" s="15" t="n">
        <f aca="false">BI9+2</f>
        <v>46322</v>
      </c>
      <c r="BK9" s="15" t="n">
        <f aca="false">BJ9+2</f>
        <v>46324</v>
      </c>
      <c r="BL9" s="15" t="n">
        <f aca="false">BK9+3</f>
        <v>46327</v>
      </c>
      <c r="BM9" s="15" t="n">
        <f aca="false">BL9+2</f>
        <v>46329</v>
      </c>
      <c r="BN9" s="15" t="n">
        <f aca="false">BM9+2</f>
        <v>46331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1</v>
      </c>
      <c r="B10" s="116" t="n">
        <v>26303</v>
      </c>
      <c r="C10" s="117" t="s">
        <v>185</v>
      </c>
      <c r="D10" s="17" t="n">
        <f aca="false">COUNTIF($G10:$BN10,D$9)</f>
        <v>32</v>
      </c>
      <c r="E10" s="17" t="n">
        <f aca="false">COUNTIF($G10:$BN10,E$9)</f>
        <v>1</v>
      </c>
      <c r="F10" s="17" t="n">
        <f aca="false">COUNTIF($G10:$BN10,F$9)</f>
        <v>0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17</v>
      </c>
      <c r="M10" s="18" t="s">
        <v>9</v>
      </c>
      <c r="N10" s="18" t="s">
        <v>9</v>
      </c>
      <c r="O10" s="18" t="s">
        <v>17</v>
      </c>
      <c r="P10" s="18" t="s">
        <v>9</v>
      </c>
      <c r="Q10" s="18" t="s">
        <v>9</v>
      </c>
      <c r="R10" s="18" t="s">
        <v>9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9</v>
      </c>
      <c r="X10" s="18" t="s">
        <v>9</v>
      </c>
      <c r="Y10" s="18" t="s">
        <v>9</v>
      </c>
      <c r="Z10" s="18" t="s">
        <v>9</v>
      </c>
      <c r="AA10" s="18" t="s">
        <v>9</v>
      </c>
      <c r="AB10" s="18" t="s">
        <v>9</v>
      </c>
      <c r="AC10" s="18" t="s">
        <v>9</v>
      </c>
      <c r="AD10" s="18" t="s">
        <v>10</v>
      </c>
      <c r="AE10" s="18" t="s">
        <v>9</v>
      </c>
      <c r="AF10" s="18" t="s">
        <v>9</v>
      </c>
      <c r="AG10" s="18" t="s">
        <v>9</v>
      </c>
      <c r="AH10" s="18" t="s">
        <v>9</v>
      </c>
      <c r="AI10" s="18" t="s">
        <v>9</v>
      </c>
      <c r="AJ10" s="18" t="s">
        <v>9</v>
      </c>
      <c r="AK10" s="18" t="s">
        <v>9</v>
      </c>
      <c r="AL10" s="18" t="s">
        <v>9</v>
      </c>
      <c r="AM10" s="18" t="s">
        <v>9</v>
      </c>
      <c r="AN10" s="18" t="s">
        <v>9</v>
      </c>
      <c r="AO10" s="18" t="s">
        <v>9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2</v>
      </c>
      <c r="B11" s="17" t="n">
        <v>26317</v>
      </c>
      <c r="C11" s="105" t="s">
        <v>186</v>
      </c>
      <c r="D11" s="17" t="n">
        <f aca="false">COUNTIF($G11:$BN11,D$9)</f>
        <v>31</v>
      </c>
      <c r="E11" s="17" t="n">
        <f aca="false">COUNTIF($G11:$BN11,E$9)</f>
        <v>2</v>
      </c>
      <c r="F11" s="17" t="n">
        <f aca="false">COUNTIF($G11:$BN11,F$9)</f>
        <v>0</v>
      </c>
      <c r="G11" s="18" t="s">
        <v>9</v>
      </c>
      <c r="H11" s="18" t="s">
        <v>9</v>
      </c>
      <c r="I11" s="18" t="s">
        <v>9</v>
      </c>
      <c r="J11" s="18" t="s">
        <v>10</v>
      </c>
      <c r="K11" s="18" t="s">
        <v>9</v>
      </c>
      <c r="L11" s="18" t="s">
        <v>17</v>
      </c>
      <c r="M11" s="18" t="s">
        <v>9</v>
      </c>
      <c r="N11" s="18" t="s">
        <v>9</v>
      </c>
      <c r="O11" s="18" t="s">
        <v>17</v>
      </c>
      <c r="P11" s="18" t="s">
        <v>9</v>
      </c>
      <c r="Q11" s="18" t="s">
        <v>9</v>
      </c>
      <c r="R11" s="18" t="s">
        <v>9</v>
      </c>
      <c r="S11" s="18" t="s">
        <v>9</v>
      </c>
      <c r="T11" s="18" t="s">
        <v>9</v>
      </c>
      <c r="U11" s="18" t="s">
        <v>9</v>
      </c>
      <c r="V11" s="18" t="s">
        <v>9</v>
      </c>
      <c r="W11" s="18" t="s">
        <v>9</v>
      </c>
      <c r="X11" s="18" t="s">
        <v>9</v>
      </c>
      <c r="Y11" s="18" t="s">
        <v>9</v>
      </c>
      <c r="Z11" s="18" t="s">
        <v>9</v>
      </c>
      <c r="AA11" s="18" t="s">
        <v>9</v>
      </c>
      <c r="AB11" s="18" t="s">
        <v>10</v>
      </c>
      <c r="AC11" s="18" t="s">
        <v>9</v>
      </c>
      <c r="AD11" s="18" t="s">
        <v>9</v>
      </c>
      <c r="AE11" s="18" t="s">
        <v>9</v>
      </c>
      <c r="AF11" s="18" t="s">
        <v>9</v>
      </c>
      <c r="AG11" s="18" t="s">
        <v>9</v>
      </c>
      <c r="AH11" s="18" t="s">
        <v>9</v>
      </c>
      <c r="AI11" s="18" t="s">
        <v>9</v>
      </c>
      <c r="AJ11" s="18" t="s">
        <v>9</v>
      </c>
      <c r="AK11" s="18" t="s">
        <v>9</v>
      </c>
      <c r="AL11" s="18" t="s">
        <v>9</v>
      </c>
      <c r="AM11" s="18" t="s">
        <v>9</v>
      </c>
      <c r="AN11" s="18" t="s">
        <v>9</v>
      </c>
      <c r="AO11" s="18" t="s">
        <v>9</v>
      </c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3</v>
      </c>
      <c r="B12" s="17" t="n">
        <v>26285</v>
      </c>
      <c r="C12" s="105" t="s">
        <v>187</v>
      </c>
      <c r="D12" s="17" t="n">
        <f aca="false">COUNTIF($G12:$BN12,D$9)</f>
        <v>5</v>
      </c>
      <c r="E12" s="17" t="n">
        <f aca="false">COUNTIF($G12:$BN12,E$9)</f>
        <v>28</v>
      </c>
      <c r="F12" s="17" t="n">
        <f aca="false">COUNTIF($G12:$BN12,F$9)</f>
        <v>0</v>
      </c>
      <c r="G12" s="18" t="s">
        <v>9</v>
      </c>
      <c r="H12" s="18" t="s">
        <v>10</v>
      </c>
      <c r="I12" s="18" t="s">
        <v>9</v>
      </c>
      <c r="J12" s="18" t="s">
        <v>9</v>
      </c>
      <c r="K12" s="18" t="s">
        <v>10</v>
      </c>
      <c r="L12" s="18" t="s">
        <v>17</v>
      </c>
      <c r="M12" s="18" t="s">
        <v>10</v>
      </c>
      <c r="N12" s="18" t="s">
        <v>10</v>
      </c>
      <c r="O12" s="18" t="s">
        <v>17</v>
      </c>
      <c r="P12" s="18" t="s">
        <v>9</v>
      </c>
      <c r="Q12" s="18" t="s">
        <v>10</v>
      </c>
      <c r="R12" s="18" t="s">
        <v>10</v>
      </c>
      <c r="S12" s="18" t="s">
        <v>10</v>
      </c>
      <c r="T12" s="18" t="s">
        <v>10</v>
      </c>
      <c r="U12" s="18" t="s">
        <v>10</v>
      </c>
      <c r="V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A12" s="18" t="s">
        <v>9</v>
      </c>
      <c r="AB12" s="18" t="s">
        <v>10</v>
      </c>
      <c r="AC12" s="18" t="s">
        <v>10</v>
      </c>
      <c r="AD12" s="18" t="s">
        <v>10</v>
      </c>
      <c r="AE12" s="18" t="s">
        <v>10</v>
      </c>
      <c r="AF12" s="18" t="s">
        <v>10</v>
      </c>
      <c r="AG12" s="18" t="s">
        <v>10</v>
      </c>
      <c r="AH12" s="18" t="s">
        <v>10</v>
      </c>
      <c r="AI12" s="18" t="s">
        <v>10</v>
      </c>
      <c r="AJ12" s="18" t="s">
        <v>10</v>
      </c>
      <c r="AK12" s="18" t="s">
        <v>10</v>
      </c>
      <c r="AL12" s="18" t="s">
        <v>10</v>
      </c>
      <c r="AM12" s="18" t="s">
        <v>10</v>
      </c>
      <c r="AN12" s="18" t="s">
        <v>10</v>
      </c>
      <c r="AO12" s="18" t="s">
        <v>10</v>
      </c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4</v>
      </c>
      <c r="B13" s="17" t="n">
        <v>26315</v>
      </c>
      <c r="C13" s="105" t="s">
        <v>188</v>
      </c>
      <c r="D13" s="17" t="n">
        <f aca="false">COUNTIF($G13:$BN13,D$9)</f>
        <v>10</v>
      </c>
      <c r="E13" s="17" t="n">
        <f aca="false">COUNTIF($G13:$BN13,E$9)</f>
        <v>23</v>
      </c>
      <c r="F13" s="17" t="n">
        <f aca="false">COUNTIF($G13:$BN13,F$9)</f>
        <v>0</v>
      </c>
      <c r="G13" s="18" t="s">
        <v>9</v>
      </c>
      <c r="H13" s="18" t="s">
        <v>9</v>
      </c>
      <c r="I13" s="18" t="s">
        <v>9</v>
      </c>
      <c r="J13" s="18" t="s">
        <v>10</v>
      </c>
      <c r="K13" s="18" t="s">
        <v>9</v>
      </c>
      <c r="L13" s="18" t="s">
        <v>17</v>
      </c>
      <c r="M13" s="18" t="s">
        <v>10</v>
      </c>
      <c r="N13" s="18" t="s">
        <v>10</v>
      </c>
      <c r="O13" s="18" t="s">
        <v>17</v>
      </c>
      <c r="P13" s="18" t="s">
        <v>10</v>
      </c>
      <c r="Q13" s="18" t="s">
        <v>9</v>
      </c>
      <c r="R13" s="18" t="s">
        <v>9</v>
      </c>
      <c r="S13" s="18" t="s">
        <v>9</v>
      </c>
      <c r="T13" s="18" t="s">
        <v>9</v>
      </c>
      <c r="U13" s="18" t="s">
        <v>10</v>
      </c>
      <c r="V13" s="18" t="s">
        <v>10</v>
      </c>
      <c r="W13" s="18" t="s">
        <v>9</v>
      </c>
      <c r="X13" s="18" t="s">
        <v>10</v>
      </c>
      <c r="Y13" s="18" t="s">
        <v>9</v>
      </c>
      <c r="Z13" s="18" t="s">
        <v>10</v>
      </c>
      <c r="AA13" s="18" t="s">
        <v>10</v>
      </c>
      <c r="AB13" s="18" t="s">
        <v>10</v>
      </c>
      <c r="AC13" s="18" t="s">
        <v>10</v>
      </c>
      <c r="AD13" s="18" t="s">
        <v>10</v>
      </c>
      <c r="AE13" s="18" t="s">
        <v>10</v>
      </c>
      <c r="AF13" s="18" t="s">
        <v>10</v>
      </c>
      <c r="AG13" s="18" t="s">
        <v>10</v>
      </c>
      <c r="AH13" s="18" t="s">
        <v>10</v>
      </c>
      <c r="AI13" s="18" t="s">
        <v>10</v>
      </c>
      <c r="AJ13" s="18" t="s">
        <v>10</v>
      </c>
      <c r="AK13" s="18" t="s">
        <v>10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5</v>
      </c>
      <c r="B14" s="17"/>
      <c r="C14" s="105" t="s">
        <v>189</v>
      </c>
      <c r="D14" s="17" t="n">
        <f aca="false">COUNTIF($G14:$BN14,D$9)</f>
        <v>5</v>
      </c>
      <c r="E14" s="17" t="n">
        <f aca="false">COUNTIF($G14:$BN14,E$9)</f>
        <v>28</v>
      </c>
      <c r="F14" s="17" t="n">
        <f aca="false">COUNTIF($G14:$BN14,F$9)</f>
        <v>0</v>
      </c>
      <c r="G14" s="18" t="s">
        <v>9</v>
      </c>
      <c r="H14" s="18" t="s">
        <v>9</v>
      </c>
      <c r="I14" s="18" t="s">
        <v>9</v>
      </c>
      <c r="J14" s="18" t="s">
        <v>9</v>
      </c>
      <c r="K14" s="18" t="s">
        <v>9</v>
      </c>
      <c r="L14" s="18" t="s">
        <v>17</v>
      </c>
      <c r="M14" s="18" t="s">
        <v>10</v>
      </c>
      <c r="N14" s="18" t="s">
        <v>10</v>
      </c>
      <c r="O14" s="18" t="s">
        <v>17</v>
      </c>
      <c r="P14" s="18" t="s">
        <v>10</v>
      </c>
      <c r="Q14" s="18" t="s">
        <v>10</v>
      </c>
      <c r="R14" s="18" t="s">
        <v>10</v>
      </c>
      <c r="S14" s="18" t="s">
        <v>10</v>
      </c>
      <c r="T14" s="18" t="s">
        <v>10</v>
      </c>
      <c r="U14" s="18" t="s">
        <v>10</v>
      </c>
      <c r="V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A14" s="18" t="s">
        <v>10</v>
      </c>
      <c r="AB14" s="18" t="s">
        <v>10</v>
      </c>
      <c r="AC14" s="18" t="s">
        <v>10</v>
      </c>
      <c r="AD14" s="18" t="s">
        <v>10</v>
      </c>
      <c r="AE14" s="18" t="s">
        <v>10</v>
      </c>
      <c r="AF14" s="18" t="s">
        <v>10</v>
      </c>
      <c r="AG14" s="18" t="s">
        <v>10</v>
      </c>
      <c r="AH14" s="18" t="s">
        <v>10</v>
      </c>
      <c r="AI14" s="18" t="s">
        <v>10</v>
      </c>
      <c r="AJ14" s="18" t="s">
        <v>10</v>
      </c>
      <c r="AK14" s="18" t="s">
        <v>10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6</v>
      </c>
      <c r="B15" s="17" t="n">
        <v>26320</v>
      </c>
      <c r="C15" s="105" t="s">
        <v>190</v>
      </c>
      <c r="D15" s="17" t="n">
        <f aca="false">COUNTIF($G15:$BN15,D$9)</f>
        <v>32</v>
      </c>
      <c r="E15" s="17" t="n">
        <f aca="false">COUNTIF($G15:$BN15,E$9)</f>
        <v>1</v>
      </c>
      <c r="F15" s="17" t="n">
        <f aca="false">COUNTIF($G15:$BN15,F$9)</f>
        <v>0</v>
      </c>
      <c r="G15" s="18" t="s">
        <v>9</v>
      </c>
      <c r="H15" s="18" t="s">
        <v>9</v>
      </c>
      <c r="I15" s="18" t="s">
        <v>9</v>
      </c>
      <c r="J15" s="18" t="s">
        <v>9</v>
      </c>
      <c r="K15" s="18" t="s">
        <v>9</v>
      </c>
      <c r="L15" s="18" t="s">
        <v>17</v>
      </c>
      <c r="M15" s="18" t="s">
        <v>9</v>
      </c>
      <c r="N15" s="18" t="s">
        <v>9</v>
      </c>
      <c r="O15" s="18" t="s">
        <v>17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9</v>
      </c>
      <c r="U15" s="18" t="s">
        <v>10</v>
      </c>
      <c r="V15" s="18" t="s">
        <v>9</v>
      </c>
      <c r="W15" s="18" t="s">
        <v>9</v>
      </c>
      <c r="X15" s="18" t="s">
        <v>9</v>
      </c>
      <c r="Y15" s="18" t="s">
        <v>9</v>
      </c>
      <c r="Z15" s="18" t="s">
        <v>9</v>
      </c>
      <c r="AA15" s="18" t="s">
        <v>9</v>
      </c>
      <c r="AB15" s="18" t="s">
        <v>9</v>
      </c>
      <c r="AC15" s="18" t="s">
        <v>9</v>
      </c>
      <c r="AD15" s="18" t="s">
        <v>9</v>
      </c>
      <c r="AE15" s="18" t="s">
        <v>9</v>
      </c>
      <c r="AF15" s="18" t="s">
        <v>9</v>
      </c>
      <c r="AG15" s="18" t="s">
        <v>9</v>
      </c>
      <c r="AH15" s="18" t="s">
        <v>9</v>
      </c>
      <c r="AI15" s="18" t="s">
        <v>9</v>
      </c>
      <c r="AJ15" s="18" t="s">
        <v>9</v>
      </c>
      <c r="AK15" s="18" t="s">
        <v>9</v>
      </c>
      <c r="AL15" s="18" t="s">
        <v>9</v>
      </c>
      <c r="AM15" s="18" t="s">
        <v>9</v>
      </c>
      <c r="AN15" s="18" t="s">
        <v>9</v>
      </c>
      <c r="AO15" s="18" t="s">
        <v>9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7</v>
      </c>
      <c r="B16" s="17" t="n">
        <v>26316</v>
      </c>
      <c r="C16" s="105" t="s">
        <v>191</v>
      </c>
      <c r="D16" s="17" t="n">
        <f aca="false">COUNTIF($G16:$BN16,D$9)</f>
        <v>5</v>
      </c>
      <c r="E16" s="17" t="n">
        <f aca="false">COUNTIF($G16:$BN16,E$9)</f>
        <v>28</v>
      </c>
      <c r="F16" s="17" t="n">
        <f aca="false">COUNTIF($G16:$BN16,F$9)</f>
        <v>0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 t="s">
        <v>17</v>
      </c>
      <c r="M16" s="18" t="s">
        <v>10</v>
      </c>
      <c r="N16" s="18" t="s">
        <v>10</v>
      </c>
      <c r="O16" s="18" t="s">
        <v>17</v>
      </c>
      <c r="P16" s="18" t="s">
        <v>10</v>
      </c>
      <c r="Q16" s="18" t="s">
        <v>10</v>
      </c>
      <c r="R16" s="18" t="s">
        <v>10</v>
      </c>
      <c r="S16" s="18" t="s">
        <v>10</v>
      </c>
      <c r="T16" s="18" t="s">
        <v>10</v>
      </c>
      <c r="U16" s="18" t="s">
        <v>10</v>
      </c>
      <c r="V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A16" s="18" t="s">
        <v>10</v>
      </c>
      <c r="AB16" s="18" t="s">
        <v>10</v>
      </c>
      <c r="AC16" s="18" t="s">
        <v>10</v>
      </c>
      <c r="AD16" s="18" t="s">
        <v>10</v>
      </c>
      <c r="AE16" s="18" t="s">
        <v>10</v>
      </c>
      <c r="AF16" s="18" t="s">
        <v>10</v>
      </c>
      <c r="AG16" s="18" t="s">
        <v>10</v>
      </c>
      <c r="AH16" s="18" t="s">
        <v>10</v>
      </c>
      <c r="AI16" s="18" t="s">
        <v>10</v>
      </c>
      <c r="AJ16" s="18" t="s">
        <v>10</v>
      </c>
      <c r="AK16" s="18" t="s">
        <v>10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8</v>
      </c>
      <c r="B17" s="17" t="n">
        <v>26323</v>
      </c>
      <c r="C17" s="17" t="s">
        <v>192</v>
      </c>
      <c r="D17" s="17" t="n">
        <f aca="false">COUNTIF($G17:$BN17,D$9)</f>
        <v>27</v>
      </c>
      <c r="E17" s="17" t="n">
        <f aca="false">COUNTIF($G17:$BN17,E$9)</f>
        <v>1</v>
      </c>
      <c r="F17" s="17" t="n">
        <f aca="false">COUNTIF($G17:$BN17,F$9)</f>
        <v>5</v>
      </c>
      <c r="G17" s="18" t="s">
        <v>9</v>
      </c>
      <c r="H17" s="18" t="s">
        <v>9</v>
      </c>
      <c r="I17" s="18" t="s">
        <v>9</v>
      </c>
      <c r="J17" s="18" t="s">
        <v>9</v>
      </c>
      <c r="K17" s="18" t="s">
        <v>9</v>
      </c>
      <c r="L17" s="18" t="s">
        <v>17</v>
      </c>
      <c r="M17" s="18" t="s">
        <v>9</v>
      </c>
      <c r="N17" s="18" t="s">
        <v>9</v>
      </c>
      <c r="O17" s="18" t="s">
        <v>17</v>
      </c>
      <c r="P17" s="18" t="s">
        <v>9</v>
      </c>
      <c r="Q17" s="18" t="s">
        <v>9</v>
      </c>
      <c r="R17" s="18" t="s">
        <v>9</v>
      </c>
      <c r="S17" s="18" t="s">
        <v>9</v>
      </c>
      <c r="T17" s="18" t="s">
        <v>9</v>
      </c>
      <c r="U17" s="18" t="s">
        <v>11</v>
      </c>
      <c r="V17" s="18" t="s">
        <v>9</v>
      </c>
      <c r="W17" s="18" t="s">
        <v>9</v>
      </c>
      <c r="X17" s="18" t="s">
        <v>9</v>
      </c>
      <c r="Y17" s="18" t="s">
        <v>9</v>
      </c>
      <c r="Z17" s="18" t="s">
        <v>9</v>
      </c>
      <c r="AA17" s="18" t="s">
        <v>9</v>
      </c>
      <c r="AB17" s="18" t="s">
        <v>9</v>
      </c>
      <c r="AC17" s="18" t="s">
        <v>9</v>
      </c>
      <c r="AD17" s="18" t="s">
        <v>11</v>
      </c>
      <c r="AE17" s="18" t="s">
        <v>9</v>
      </c>
      <c r="AF17" s="18" t="s">
        <v>9</v>
      </c>
      <c r="AG17" s="18" t="s">
        <v>9</v>
      </c>
      <c r="AH17" s="18" t="s">
        <v>9</v>
      </c>
      <c r="AI17" s="18" t="s">
        <v>11</v>
      </c>
      <c r="AJ17" s="18" t="s">
        <v>9</v>
      </c>
      <c r="AK17" s="18" t="s">
        <v>9</v>
      </c>
      <c r="AL17" s="18" t="s">
        <v>9</v>
      </c>
      <c r="AM17" s="18" t="s">
        <v>11</v>
      </c>
      <c r="AN17" s="18" t="s">
        <v>11</v>
      </c>
      <c r="AO17" s="18" t="s">
        <v>10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9</v>
      </c>
      <c r="B18" s="17" t="n">
        <v>26318</v>
      </c>
      <c r="C18" s="105" t="s">
        <v>193</v>
      </c>
      <c r="D18" s="17" t="n">
        <f aca="false">COUNTIF($G18:$BN18,D$9)</f>
        <v>31</v>
      </c>
      <c r="E18" s="17" t="n">
        <f aca="false">COUNTIF($G18:$BN18,E$9)</f>
        <v>2</v>
      </c>
      <c r="F18" s="17" t="n">
        <f aca="false">COUNTIF($G18:$BN18,F$9)</f>
        <v>0</v>
      </c>
      <c r="G18" s="18" t="s">
        <v>9</v>
      </c>
      <c r="H18" s="18" t="s">
        <v>9</v>
      </c>
      <c r="I18" s="18" t="s">
        <v>9</v>
      </c>
      <c r="J18" s="18" t="s">
        <v>9</v>
      </c>
      <c r="K18" s="18" t="s">
        <v>9</v>
      </c>
      <c r="L18" s="18" t="s">
        <v>17</v>
      </c>
      <c r="M18" s="18" t="s">
        <v>9</v>
      </c>
      <c r="N18" s="18" t="s">
        <v>9</v>
      </c>
      <c r="O18" s="18" t="s">
        <v>17</v>
      </c>
      <c r="P18" s="18" t="s">
        <v>9</v>
      </c>
      <c r="Q18" s="18" t="s">
        <v>9</v>
      </c>
      <c r="R18" s="18" t="s">
        <v>9</v>
      </c>
      <c r="S18" s="18" t="s">
        <v>9</v>
      </c>
      <c r="T18" s="18" t="s">
        <v>9</v>
      </c>
      <c r="U18" s="18" t="s">
        <v>9</v>
      </c>
      <c r="V18" s="18" t="s">
        <v>9</v>
      </c>
      <c r="W18" s="18" t="s">
        <v>9</v>
      </c>
      <c r="X18" s="18" t="s">
        <v>9</v>
      </c>
      <c r="Y18" s="18" t="s">
        <v>9</v>
      </c>
      <c r="Z18" s="18" t="s">
        <v>9</v>
      </c>
      <c r="AA18" s="18" t="s">
        <v>9</v>
      </c>
      <c r="AB18" s="18" t="s">
        <v>9</v>
      </c>
      <c r="AC18" s="18" t="s">
        <v>9</v>
      </c>
      <c r="AD18" s="18" t="s">
        <v>9</v>
      </c>
      <c r="AE18" s="18" t="s">
        <v>9</v>
      </c>
      <c r="AF18" s="18" t="s">
        <v>9</v>
      </c>
      <c r="AG18" s="18" t="s">
        <v>9</v>
      </c>
      <c r="AH18" s="18" t="s">
        <v>9</v>
      </c>
      <c r="AI18" s="18" t="s">
        <v>9</v>
      </c>
      <c r="AJ18" s="18" t="s">
        <v>9</v>
      </c>
      <c r="AK18" s="18" t="s">
        <v>9</v>
      </c>
      <c r="AL18" s="18" t="s">
        <v>9</v>
      </c>
      <c r="AM18" s="18" t="s">
        <v>10</v>
      </c>
      <c r="AN18" s="18" t="s">
        <v>9</v>
      </c>
      <c r="AO18" s="18" t="s">
        <v>10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11</v>
      </c>
      <c r="B19" s="17" t="n">
        <v>36326</v>
      </c>
      <c r="C19" s="105" t="s">
        <v>194</v>
      </c>
      <c r="D19" s="17" t="n">
        <f aca="false">COUNTIF($G19:$BN19,D$9)</f>
        <v>25</v>
      </c>
      <c r="E19" s="17" t="n">
        <f aca="false">COUNTIF($G19:$BN19,E$9)</f>
        <v>7</v>
      </c>
      <c r="F19" s="17" t="n">
        <f aca="false">COUNTIF($G19:$BN19,F$9)</f>
        <v>0</v>
      </c>
      <c r="G19" s="18"/>
      <c r="H19" s="18" t="s">
        <v>9</v>
      </c>
      <c r="I19" s="18" t="s">
        <v>9</v>
      </c>
      <c r="J19" s="18" t="s">
        <v>9</v>
      </c>
      <c r="K19" s="18" t="s">
        <v>9</v>
      </c>
      <c r="L19" s="18" t="s">
        <v>17</v>
      </c>
      <c r="M19" s="18" t="s">
        <v>9</v>
      </c>
      <c r="N19" s="18" t="s">
        <v>9</v>
      </c>
      <c r="O19" s="18" t="s">
        <v>17</v>
      </c>
      <c r="P19" s="18" t="s">
        <v>9</v>
      </c>
      <c r="Q19" s="18" t="s">
        <v>9</v>
      </c>
      <c r="R19" s="18" t="s">
        <v>9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9</v>
      </c>
      <c r="Z19" s="18" t="s">
        <v>9</v>
      </c>
      <c r="AA19" s="18" t="s">
        <v>9</v>
      </c>
      <c r="AB19" s="18" t="s">
        <v>10</v>
      </c>
      <c r="AC19" s="18" t="s">
        <v>9</v>
      </c>
      <c r="AD19" s="18" t="s">
        <v>10</v>
      </c>
      <c r="AE19" s="18" t="s">
        <v>9</v>
      </c>
      <c r="AF19" s="18" t="s">
        <v>10</v>
      </c>
      <c r="AG19" s="18" t="s">
        <v>10</v>
      </c>
      <c r="AH19" s="18" t="s">
        <v>9</v>
      </c>
      <c r="AI19" s="18" t="s">
        <v>9</v>
      </c>
      <c r="AJ19" s="18" t="s">
        <v>9</v>
      </c>
      <c r="AK19" s="18" t="s">
        <v>9</v>
      </c>
      <c r="AL19" s="18" t="s">
        <v>9</v>
      </c>
      <c r="AM19" s="18" t="s">
        <v>10</v>
      </c>
      <c r="AN19" s="18" t="s">
        <v>10</v>
      </c>
      <c r="AO19" s="18" t="s">
        <v>10</v>
      </c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12</v>
      </c>
      <c r="B20" s="17" t="n">
        <v>36327</v>
      </c>
      <c r="C20" s="105" t="s">
        <v>195</v>
      </c>
      <c r="D20" s="17" t="n">
        <f aca="false">COUNTIF($G20:$BN20,D$9)</f>
        <v>24</v>
      </c>
      <c r="E20" s="17" t="n">
        <f aca="false">COUNTIF($G20:$BN20,E$9)</f>
        <v>7</v>
      </c>
      <c r="F20" s="17" t="n">
        <f aca="false">COUNTIF($G20:$BN20,F$9)</f>
        <v>1</v>
      </c>
      <c r="G20" s="18"/>
      <c r="H20" s="18" t="s">
        <v>9</v>
      </c>
      <c r="I20" s="18" t="s">
        <v>9</v>
      </c>
      <c r="J20" s="18" t="s">
        <v>9</v>
      </c>
      <c r="K20" s="18" t="s">
        <v>9</v>
      </c>
      <c r="L20" s="18" t="s">
        <v>17</v>
      </c>
      <c r="M20" s="18" t="s">
        <v>10</v>
      </c>
      <c r="N20" s="18" t="s">
        <v>10</v>
      </c>
      <c r="O20" s="18" t="s">
        <v>17</v>
      </c>
      <c r="P20" s="18" t="s">
        <v>10</v>
      </c>
      <c r="Q20" s="18" t="s">
        <v>9</v>
      </c>
      <c r="R20" s="18" t="s">
        <v>9</v>
      </c>
      <c r="S20" s="18" t="s">
        <v>9</v>
      </c>
      <c r="T20" s="18" t="s">
        <v>9</v>
      </c>
      <c r="U20" s="18" t="s">
        <v>9</v>
      </c>
      <c r="V20" s="18" t="s">
        <v>9</v>
      </c>
      <c r="W20" s="18" t="s">
        <v>9</v>
      </c>
      <c r="X20" s="18" t="s">
        <v>9</v>
      </c>
      <c r="Y20" s="18" t="s">
        <v>9</v>
      </c>
      <c r="Z20" s="18" t="s">
        <v>9</v>
      </c>
      <c r="AA20" s="18" t="s">
        <v>9</v>
      </c>
      <c r="AB20" s="18" t="s">
        <v>9</v>
      </c>
      <c r="AC20" s="18" t="s">
        <v>9</v>
      </c>
      <c r="AD20" s="18" t="s">
        <v>10</v>
      </c>
      <c r="AE20" s="18" t="s">
        <v>11</v>
      </c>
      <c r="AF20" s="18" t="s">
        <v>9</v>
      </c>
      <c r="AG20" s="18" t="s">
        <v>9</v>
      </c>
      <c r="AH20" s="18" t="s">
        <v>9</v>
      </c>
      <c r="AI20" s="18" t="s">
        <v>9</v>
      </c>
      <c r="AJ20" s="18" t="s">
        <v>9</v>
      </c>
      <c r="AK20" s="18" t="s">
        <v>9</v>
      </c>
      <c r="AL20" s="18" t="s">
        <v>9</v>
      </c>
      <c r="AM20" s="18" t="s">
        <v>10</v>
      </c>
      <c r="AN20" s="18" t="s">
        <v>10</v>
      </c>
      <c r="AO20" s="18" t="s">
        <v>10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14</v>
      </c>
      <c r="B21" s="17" t="n">
        <v>25231</v>
      </c>
      <c r="C21" s="105" t="s">
        <v>196</v>
      </c>
      <c r="D21" s="17" t="n">
        <f aca="false">COUNTIF($G21:$BN21,D$9)</f>
        <v>26</v>
      </c>
      <c r="E21" s="17" t="n">
        <f aca="false">COUNTIF($G21:$BN21,E$9)</f>
        <v>7</v>
      </c>
      <c r="F21" s="17" t="n">
        <f aca="false">COUNTIF($G21:$BN21,F$9)</f>
        <v>0</v>
      </c>
      <c r="G21" s="18" t="s">
        <v>10</v>
      </c>
      <c r="H21" s="18" t="s">
        <v>10</v>
      </c>
      <c r="I21" s="18" t="s">
        <v>9</v>
      </c>
      <c r="J21" s="18" t="s">
        <v>9</v>
      </c>
      <c r="K21" s="18" t="s">
        <v>10</v>
      </c>
      <c r="L21" s="18" t="s">
        <v>17</v>
      </c>
      <c r="M21" s="18" t="s">
        <v>9</v>
      </c>
      <c r="N21" s="18" t="s">
        <v>10</v>
      </c>
      <c r="O21" s="18" t="s">
        <v>17</v>
      </c>
      <c r="P21" s="18" t="s">
        <v>9</v>
      </c>
      <c r="Q21" s="18" t="s">
        <v>9</v>
      </c>
      <c r="R21" s="18" t="s">
        <v>9</v>
      </c>
      <c r="S21" s="18" t="s">
        <v>9</v>
      </c>
      <c r="T21" s="18" t="s">
        <v>9</v>
      </c>
      <c r="U21" s="18" t="s">
        <v>9</v>
      </c>
      <c r="V21" s="18" t="s">
        <v>9</v>
      </c>
      <c r="W21" s="18" t="s">
        <v>9</v>
      </c>
      <c r="X21" s="18" t="s">
        <v>9</v>
      </c>
      <c r="Y21" s="18" t="s">
        <v>9</v>
      </c>
      <c r="Z21" s="18" t="s">
        <v>9</v>
      </c>
      <c r="AA21" s="18" t="s">
        <v>9</v>
      </c>
      <c r="AB21" s="18" t="s">
        <v>10</v>
      </c>
      <c r="AC21" s="18" t="s">
        <v>9</v>
      </c>
      <c r="AD21" s="18" t="s">
        <v>9</v>
      </c>
      <c r="AE21" s="18" t="s">
        <v>10</v>
      </c>
      <c r="AF21" s="18" t="s">
        <v>9</v>
      </c>
      <c r="AG21" s="18" t="s">
        <v>9</v>
      </c>
      <c r="AH21" s="18" t="s">
        <v>9</v>
      </c>
      <c r="AI21" s="18" t="s">
        <v>10</v>
      </c>
      <c r="AJ21" s="18" t="s">
        <v>9</v>
      </c>
      <c r="AK21" s="18" t="s">
        <v>9</v>
      </c>
      <c r="AL21" s="18" t="s">
        <v>9</v>
      </c>
      <c r="AM21" s="18" t="s">
        <v>9</v>
      </c>
      <c r="AN21" s="18" t="s">
        <v>9</v>
      </c>
      <c r="AO21" s="18" t="s">
        <v>9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 t="n">
        <v>15</v>
      </c>
      <c r="B22" s="17" t="n">
        <v>36328</v>
      </c>
      <c r="C22" s="105" t="s">
        <v>197</v>
      </c>
      <c r="D22" s="17" t="n">
        <f aca="false">COUNTIF($G22:$BN22,D$9)</f>
        <v>27</v>
      </c>
      <c r="E22" s="17" t="n">
        <f aca="false">COUNTIF($G22:$BN22,E$9)</f>
        <v>0</v>
      </c>
      <c r="F22" s="17" t="n">
        <f aca="false">COUNTIF($G22:$BN22,F$9)</f>
        <v>3</v>
      </c>
      <c r="G22" s="18"/>
      <c r="H22" s="18"/>
      <c r="I22" s="18"/>
      <c r="J22" s="18" t="s">
        <v>9</v>
      </c>
      <c r="K22" s="18" t="s">
        <v>9</v>
      </c>
      <c r="L22" s="18" t="s">
        <v>17</v>
      </c>
      <c r="M22" s="18" t="s">
        <v>9</v>
      </c>
      <c r="N22" s="18" t="s">
        <v>9</v>
      </c>
      <c r="O22" s="18" t="s">
        <v>17</v>
      </c>
      <c r="P22" s="18" t="s">
        <v>9</v>
      </c>
      <c r="Q22" s="18" t="s">
        <v>9</v>
      </c>
      <c r="R22" s="18" t="s">
        <v>9</v>
      </c>
      <c r="S22" s="18" t="s">
        <v>9</v>
      </c>
      <c r="T22" s="18" t="s">
        <v>9</v>
      </c>
      <c r="U22" s="18" t="s">
        <v>9</v>
      </c>
      <c r="V22" s="18" t="s">
        <v>11</v>
      </c>
      <c r="W22" s="18" t="s">
        <v>9</v>
      </c>
      <c r="X22" s="18" t="s">
        <v>9</v>
      </c>
      <c r="Y22" s="18" t="s">
        <v>9</v>
      </c>
      <c r="Z22" s="18" t="s">
        <v>11</v>
      </c>
      <c r="AA22" s="18" t="s">
        <v>9</v>
      </c>
      <c r="AB22" s="18" t="s">
        <v>9</v>
      </c>
      <c r="AC22" s="18" t="s">
        <v>9</v>
      </c>
      <c r="AD22" s="18" t="s">
        <v>9</v>
      </c>
      <c r="AE22" s="18" t="s">
        <v>9</v>
      </c>
      <c r="AF22" s="18" t="s">
        <v>9</v>
      </c>
      <c r="AG22" s="18" t="s">
        <v>9</v>
      </c>
      <c r="AH22" s="18" t="s">
        <v>9</v>
      </c>
      <c r="AI22" s="18" t="s">
        <v>11</v>
      </c>
      <c r="AJ22" s="18" t="s">
        <v>9</v>
      </c>
      <c r="AK22" s="18" t="s">
        <v>9</v>
      </c>
      <c r="AL22" s="18" t="s">
        <v>9</v>
      </c>
      <c r="AM22" s="18" t="s">
        <v>9</v>
      </c>
      <c r="AN22" s="18" t="s">
        <v>9</v>
      </c>
      <c r="AO22" s="18" t="s">
        <v>9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 t="n">
        <v>16</v>
      </c>
      <c r="B23" s="17"/>
      <c r="C23" s="105" t="s">
        <v>198</v>
      </c>
      <c r="D23" s="17" t="n">
        <f aca="false">COUNTIF($G23:$BN23,D$9)</f>
        <v>22</v>
      </c>
      <c r="E23" s="17" t="n">
        <f aca="false">COUNTIF($G23:$BN23,E$9)</f>
        <v>6</v>
      </c>
      <c r="F23" s="17" t="n">
        <f aca="false">COUNTIF($G23:$BN23,F$9)</f>
        <v>0</v>
      </c>
      <c r="G23" s="18"/>
      <c r="H23" s="18"/>
      <c r="I23" s="18"/>
      <c r="J23" s="18"/>
      <c r="K23" s="18"/>
      <c r="L23" s="18" t="s">
        <v>17</v>
      </c>
      <c r="M23" s="18" t="s">
        <v>10</v>
      </c>
      <c r="N23" s="18" t="s">
        <v>10</v>
      </c>
      <c r="O23" s="18" t="s">
        <v>17</v>
      </c>
      <c r="P23" s="18" t="s">
        <v>10</v>
      </c>
      <c r="Q23" s="18" t="s">
        <v>9</v>
      </c>
      <c r="R23" s="18" t="s">
        <v>9</v>
      </c>
      <c r="S23" s="18" t="s">
        <v>9</v>
      </c>
      <c r="T23" s="18" t="s">
        <v>9</v>
      </c>
      <c r="U23" s="18" t="s">
        <v>9</v>
      </c>
      <c r="V23" s="18" t="s">
        <v>9</v>
      </c>
      <c r="W23" s="18" t="s">
        <v>9</v>
      </c>
      <c r="X23" s="18" t="s">
        <v>9</v>
      </c>
      <c r="Y23" s="18" t="s">
        <v>9</v>
      </c>
      <c r="Z23" s="18" t="s">
        <v>9</v>
      </c>
      <c r="AA23" s="18" t="s">
        <v>9</v>
      </c>
      <c r="AB23" s="18" t="s">
        <v>10</v>
      </c>
      <c r="AC23" s="18" t="s">
        <v>10</v>
      </c>
      <c r="AD23" s="18" t="s">
        <v>9</v>
      </c>
      <c r="AE23" s="18" t="s">
        <v>9</v>
      </c>
      <c r="AF23" s="18" t="s">
        <v>9</v>
      </c>
      <c r="AG23" s="18" t="s">
        <v>9</v>
      </c>
      <c r="AH23" s="18" t="s">
        <v>9</v>
      </c>
      <c r="AI23" s="18" t="s">
        <v>10</v>
      </c>
      <c r="AJ23" s="18" t="s">
        <v>9</v>
      </c>
      <c r="AK23" s="18" t="s">
        <v>9</v>
      </c>
      <c r="AL23" s="18" t="s">
        <v>9</v>
      </c>
      <c r="AM23" s="18" t="s">
        <v>9</v>
      </c>
      <c r="AN23" s="18" t="s">
        <v>9</v>
      </c>
      <c r="AO23" s="18" t="s">
        <v>9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 t="n">
        <v>17</v>
      </c>
      <c r="B24" s="17" t="n">
        <v>26335</v>
      </c>
      <c r="C24" s="105" t="s">
        <v>199</v>
      </c>
      <c r="D24" s="17" t="n">
        <f aca="false">COUNTIF($G24:$BN24,D$9)</f>
        <v>21</v>
      </c>
      <c r="E24" s="17" t="n">
        <f aca="false">COUNTIF($G24:$BN24,E$9)</f>
        <v>4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 t="s">
        <v>9</v>
      </c>
      <c r="R24" s="18" t="s">
        <v>9</v>
      </c>
      <c r="S24" s="18" t="s">
        <v>9</v>
      </c>
      <c r="T24" s="18" t="s">
        <v>9</v>
      </c>
      <c r="U24" s="18" t="s">
        <v>9</v>
      </c>
      <c r="V24" s="18" t="s">
        <v>9</v>
      </c>
      <c r="W24" s="18" t="s">
        <v>9</v>
      </c>
      <c r="X24" s="18" t="s">
        <v>9</v>
      </c>
      <c r="Y24" s="18" t="s">
        <v>9</v>
      </c>
      <c r="Z24" s="18" t="s">
        <v>9</v>
      </c>
      <c r="AA24" s="18" t="s">
        <v>9</v>
      </c>
      <c r="AB24" s="18" t="s">
        <v>10</v>
      </c>
      <c r="AC24" s="18" t="s">
        <v>9</v>
      </c>
      <c r="AD24" s="18" t="s">
        <v>9</v>
      </c>
      <c r="AE24" s="18" t="s">
        <v>9</v>
      </c>
      <c r="AF24" s="18" t="s">
        <v>9</v>
      </c>
      <c r="AG24" s="18" t="s">
        <v>9</v>
      </c>
      <c r="AH24" s="18" t="s">
        <v>9</v>
      </c>
      <c r="AI24" s="18" t="s">
        <v>9</v>
      </c>
      <c r="AJ24" s="18" t="s">
        <v>9</v>
      </c>
      <c r="AK24" s="18" t="s">
        <v>9</v>
      </c>
      <c r="AL24" s="18" t="s">
        <v>9</v>
      </c>
      <c r="AM24" s="18" t="s">
        <v>10</v>
      </c>
      <c r="AN24" s="18" t="s">
        <v>10</v>
      </c>
      <c r="AO24" s="18" t="s">
        <v>10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 t="n">
        <v>18</v>
      </c>
      <c r="B25" s="17" t="n">
        <v>26324</v>
      </c>
      <c r="C25" s="105" t="s">
        <v>200</v>
      </c>
      <c r="D25" s="17" t="n">
        <f aca="false">COUNTIF($G25:$BN25,D$9)</f>
        <v>14</v>
      </c>
      <c r="E25" s="17" t="n">
        <f aca="false">COUNTIF($G25:$BN25,E$9)</f>
        <v>7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 t="s">
        <v>9</v>
      </c>
      <c r="V25" s="18" t="s">
        <v>9</v>
      </c>
      <c r="W25" s="18" t="s">
        <v>9</v>
      </c>
      <c r="X25" s="18" t="s">
        <v>9</v>
      </c>
      <c r="Y25" s="18" t="s">
        <v>9</v>
      </c>
      <c r="Z25" s="18" t="s">
        <v>9</v>
      </c>
      <c r="AA25" s="18" t="s">
        <v>9</v>
      </c>
      <c r="AB25" s="18" t="s">
        <v>10</v>
      </c>
      <c r="AC25" s="18" t="s">
        <v>9</v>
      </c>
      <c r="AD25" s="18" t="s">
        <v>9</v>
      </c>
      <c r="AE25" s="18" t="s">
        <v>9</v>
      </c>
      <c r="AF25" s="18" t="s">
        <v>9</v>
      </c>
      <c r="AG25" s="18" t="s">
        <v>10</v>
      </c>
      <c r="AH25" s="18" t="s">
        <v>9</v>
      </c>
      <c r="AI25" s="18" t="s">
        <v>9</v>
      </c>
      <c r="AJ25" s="18" t="s">
        <v>9</v>
      </c>
      <c r="AK25" s="18" t="s">
        <v>10</v>
      </c>
      <c r="AL25" s="18" t="s">
        <v>10</v>
      </c>
      <c r="AM25" s="18" t="s">
        <v>10</v>
      </c>
      <c r="AN25" s="18" t="s">
        <v>10</v>
      </c>
      <c r="AO25" s="18" t="s">
        <v>10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 t="n">
        <v>19</v>
      </c>
      <c r="B26" s="17" t="n">
        <v>26264</v>
      </c>
      <c r="C26" s="105" t="s">
        <v>143</v>
      </c>
      <c r="D26" s="17" t="n">
        <f aca="false">COUNTIF($G26:$BN26,D$9)</f>
        <v>1</v>
      </c>
      <c r="E26" s="17" t="n">
        <f aca="false">COUNTIF($G26:$BN26,E$9)</f>
        <v>15</v>
      </c>
      <c r="F26" s="17" t="n">
        <f aca="false">COUNTIF($G26:$BN26,F$9)</f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 t="s">
        <v>9</v>
      </c>
      <c r="V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A26" s="18" t="s">
        <v>10</v>
      </c>
      <c r="AB26" s="18" t="s">
        <v>10</v>
      </c>
      <c r="AC26" s="18" t="s">
        <v>10</v>
      </c>
      <c r="AD26" s="18" t="s">
        <v>10</v>
      </c>
      <c r="AE26" s="18" t="s">
        <v>10</v>
      </c>
      <c r="AF26" s="18" t="s">
        <v>10</v>
      </c>
      <c r="AG26" s="18" t="s">
        <v>10</v>
      </c>
      <c r="AH26" s="18" t="s">
        <v>10</v>
      </c>
      <c r="AI26" s="18" t="s">
        <v>10</v>
      </c>
      <c r="AJ26" s="18"/>
      <c r="AK26" s="18"/>
      <c r="AL26" s="18"/>
      <c r="AM26" s="18"/>
      <c r="AN26" s="18"/>
      <c r="AO26" s="18" t="s">
        <v>10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7" t="n">
        <v>20</v>
      </c>
      <c r="B27" s="17" t="n">
        <v>26324</v>
      </c>
      <c r="C27" s="105" t="s">
        <v>161</v>
      </c>
      <c r="D27" s="17" t="n">
        <f aca="false">COUNTIF($G27:$BN27,D$9)</f>
        <v>16</v>
      </c>
      <c r="E27" s="17" t="n">
        <f aca="false">COUNTIF($G27:$BN27,E$9)</f>
        <v>5</v>
      </c>
      <c r="F27" s="17" t="n">
        <f aca="false">COUNTIF($G27:$BN27,F$9)</f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 t="s">
        <v>9</v>
      </c>
      <c r="V27" s="18" t="s">
        <v>9</v>
      </c>
      <c r="W27" s="18" t="s">
        <v>9</v>
      </c>
      <c r="X27" s="18" t="s">
        <v>9</v>
      </c>
      <c r="Y27" s="18" t="s">
        <v>9</v>
      </c>
      <c r="Z27" s="18" t="s">
        <v>9</v>
      </c>
      <c r="AA27" s="18" t="s">
        <v>9</v>
      </c>
      <c r="AB27" s="18" t="s">
        <v>9</v>
      </c>
      <c r="AC27" s="18" t="s">
        <v>9</v>
      </c>
      <c r="AD27" s="18" t="s">
        <v>10</v>
      </c>
      <c r="AE27" s="18" t="s">
        <v>9</v>
      </c>
      <c r="AF27" s="18" t="s">
        <v>9</v>
      </c>
      <c r="AG27" s="18" t="s">
        <v>10</v>
      </c>
      <c r="AH27" s="18" t="s">
        <v>10</v>
      </c>
      <c r="AI27" s="18" t="s">
        <v>10</v>
      </c>
      <c r="AJ27" s="18" t="s">
        <v>10</v>
      </c>
      <c r="AK27" s="18" t="s">
        <v>9</v>
      </c>
      <c r="AL27" s="18" t="s">
        <v>9</v>
      </c>
      <c r="AM27" s="18" t="s">
        <v>9</v>
      </c>
      <c r="AN27" s="18" t="s">
        <v>9</v>
      </c>
      <c r="AO27" s="18" t="s">
        <v>9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customFormat="false" ht="15.75" hidden="false" customHeight="true" outlineLevel="0" collapsed="false">
      <c r="A28" s="17" t="n">
        <v>21</v>
      </c>
      <c r="B28" s="17" t="n">
        <v>26292</v>
      </c>
      <c r="C28" s="105" t="s">
        <v>201</v>
      </c>
      <c r="D28" s="17" t="n">
        <f aca="false">COUNTIF($G28:$BN28,D$9)</f>
        <v>3</v>
      </c>
      <c r="E28" s="17" t="n">
        <f aca="false">COUNTIF($G28:$BN28,E$9)</f>
        <v>0</v>
      </c>
      <c r="F28" s="17" t="n">
        <f aca="false">COUNTIF($G28:$BN28,F$9)</f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 t="s">
        <v>9</v>
      </c>
      <c r="AN28" s="18" t="s">
        <v>9</v>
      </c>
      <c r="AO28" s="18" t="s">
        <v>9</v>
      </c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</row>
    <row r="29" customFormat="false" ht="15.75" hidden="false" customHeight="true" outlineLevel="0" collapsed="false">
      <c r="A29" s="26" t="n">
        <v>22</v>
      </c>
      <c r="B29" s="26"/>
      <c r="C29" s="118" t="s">
        <v>202</v>
      </c>
      <c r="D29" s="26" t="n">
        <f aca="false">COUNTIF($G29:$BN29,D$9)</f>
        <v>2</v>
      </c>
      <c r="E29" s="26" t="n">
        <f aca="false">COUNTIF($G29:$BN29,E$9)</f>
        <v>1</v>
      </c>
      <c r="F29" s="26" t="n">
        <f aca="false">COUNTIF($G29:$BN29,F$9)</f>
        <v>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 t="s">
        <v>9</v>
      </c>
      <c r="AN29" s="29" t="s">
        <v>9</v>
      </c>
      <c r="AO29" s="29" t="s">
        <v>10</v>
      </c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</row>
    <row r="30" customFormat="false" ht="15.75" hidden="false" customHeight="true" outlineLevel="0" collapsed="false">
      <c r="A30" s="47" t="n">
        <v>23</v>
      </c>
      <c r="B30" s="47" t="n">
        <v>26314</v>
      </c>
      <c r="C30" s="119" t="s">
        <v>165</v>
      </c>
      <c r="D30" s="47" t="n">
        <f aca="false">COUNTIF($G30:$BN30,D$9)</f>
        <v>3</v>
      </c>
      <c r="E30" s="47" t="n">
        <f aca="false">COUNTIF($G30:$BN30,E$9)</f>
        <v>0</v>
      </c>
      <c r="F30" s="47" t="n">
        <f aca="false">COUNTIF($G30:$BN30,F$9)</f>
        <v>0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 t="s">
        <v>9</v>
      </c>
      <c r="AN30" s="48" t="s">
        <v>9</v>
      </c>
      <c r="AO30" s="48" t="s">
        <v>9</v>
      </c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</row>
    <row r="31" customFormat="false" ht="15.75" hidden="false" customHeight="true" outlineLevel="0" collapsed="false">
      <c r="A31" s="47" t="n">
        <v>24</v>
      </c>
      <c r="B31" s="47" t="n">
        <v>26270</v>
      </c>
      <c r="C31" s="119" t="s">
        <v>153</v>
      </c>
      <c r="D31" s="47" t="n">
        <f aca="false">COUNTIF($G31:$BN31,D$9)</f>
        <v>3</v>
      </c>
      <c r="E31" s="47" t="n">
        <f aca="false">COUNTIF($G31:$BN31,E$9)</f>
        <v>0</v>
      </c>
      <c r="F31" s="47" t="n">
        <f aca="false">COUNTIF($G31:$BN31,F$9)</f>
        <v>0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 t="s">
        <v>9</v>
      </c>
      <c r="AN31" s="48" t="s">
        <v>9</v>
      </c>
      <c r="AO31" s="48" t="s">
        <v>9</v>
      </c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</row>
    <row r="32" customFormat="false" ht="15.75" hidden="false" customHeight="true" outlineLevel="0" collapsed="false">
      <c r="A32" s="47" t="n">
        <v>25</v>
      </c>
      <c r="B32" s="47"/>
      <c r="C32" s="119" t="s">
        <v>166</v>
      </c>
      <c r="D32" s="47" t="n">
        <f aca="false">COUNTIF($G32:$BN32,D$9)</f>
        <v>2</v>
      </c>
      <c r="E32" s="47" t="n">
        <f aca="false">COUNTIF($G32:$BN32,E$9)</f>
        <v>1</v>
      </c>
      <c r="F32" s="47" t="n">
        <f aca="false">COUNTIF($G32:$BN32,F$9)</f>
        <v>0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 t="s">
        <v>9</v>
      </c>
      <c r="AN32" s="48" t="s">
        <v>9</v>
      </c>
      <c r="AO32" s="48" t="s">
        <v>10</v>
      </c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2">
    <mergeCell ref="G2:U4"/>
    <mergeCell ref="J6:Q6"/>
  </mergeCells>
  <dataValidations count="4">
    <dataValidation allowBlank="true" errorStyle="stop" operator="between" showDropDown="false" showErrorMessage="true" showInputMessage="false" sqref="P7" type="list">
      <formula1>"SHAKIL,JIHAD,MAM,NAZRUL ISLAM"</formula1>
      <formula2>0</formula2>
    </dataValidation>
    <dataValidation allowBlank="true" errorStyle="stop" operator="between" showDropDown="false" showErrorMessage="true" showInputMessage="false" sqref="G10:BN32" type="list">
      <formula1>"P,A,E,OFF DAY"</formula1>
      <formula2>0</formula2>
    </dataValidation>
    <dataValidation allowBlank="true" errorStyle="stop" operator="between" showDropDown="false" showErrorMessage="true" showInputMessage="false" sqref="G7:O7 Q7:BN7" type="list">
      <formula1>"SHAKIL,TANVIR ISLAM,SHOFIQUL ISLAM,NAZRUL ISLAM,OFF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14.88"/>
    <col collapsed="false" customWidth="true" hidden="false" outlineLevel="0" max="3" min="3" style="0" width="25.38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D2" s="120"/>
      <c r="E2" s="120"/>
      <c r="F2" s="120"/>
      <c r="G2" s="3" t="s">
        <v>203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D3" s="120"/>
      <c r="E3" s="120"/>
      <c r="F3" s="12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46219</v>
      </c>
      <c r="D4" s="120"/>
      <c r="E4" s="120"/>
      <c r="F4" s="12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>
      <c r="D5" s="120"/>
      <c r="E5" s="120"/>
      <c r="F5" s="120"/>
    </row>
    <row r="6" customFormat="false" ht="21" hidden="false" customHeight="true" outlineLevel="0" collapsed="false">
      <c r="B6" s="6" t="s">
        <v>3</v>
      </c>
      <c r="C6" s="7" t="n">
        <v>46341</v>
      </c>
      <c r="D6" s="120"/>
      <c r="E6" s="120"/>
      <c r="F6" s="120"/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121"/>
      <c r="E7" s="121"/>
      <c r="F7" s="121"/>
      <c r="G7" s="9" t="s">
        <v>5</v>
      </c>
      <c r="H7" s="9" t="s">
        <v>5</v>
      </c>
      <c r="I7" s="9" t="s">
        <v>109</v>
      </c>
      <c r="J7" s="9" t="s">
        <v>109</v>
      </c>
      <c r="K7" s="9" t="s">
        <v>109</v>
      </c>
      <c r="L7" s="9" t="s">
        <v>5</v>
      </c>
      <c r="M7" s="9" t="s">
        <v>109</v>
      </c>
      <c r="N7" s="9" t="s">
        <v>109</v>
      </c>
      <c r="O7" s="9" t="s">
        <v>125</v>
      </c>
      <c r="P7" s="9" t="s">
        <v>109</v>
      </c>
      <c r="Q7" s="9" t="s">
        <v>90</v>
      </c>
      <c r="R7" s="9" t="s">
        <v>125</v>
      </c>
      <c r="S7" s="9" t="s">
        <v>125</v>
      </c>
      <c r="T7" s="9" t="s">
        <v>125</v>
      </c>
      <c r="U7" s="9" t="s">
        <v>125</v>
      </c>
      <c r="V7" s="9" t="s">
        <v>125</v>
      </c>
      <c r="W7" s="9" t="s">
        <v>125</v>
      </c>
      <c r="X7" s="9" t="s">
        <v>125</v>
      </c>
      <c r="Y7" s="9" t="s">
        <v>125</v>
      </c>
      <c r="Z7" s="9" t="s">
        <v>125</v>
      </c>
      <c r="AA7" s="9" t="s">
        <v>125</v>
      </c>
      <c r="AB7" s="9" t="s">
        <v>125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Thu</v>
      </c>
      <c r="H8" s="10" t="str">
        <f aca="false">TEXT(H9,"DDD")</f>
        <v>Sat</v>
      </c>
      <c r="I8" s="10" t="str">
        <f aca="false">TEXT(I9,"DDD")</f>
        <v>Mon</v>
      </c>
      <c r="J8" s="10" t="str">
        <f aca="false">TEXT(J9,"DDD")</f>
        <v>Thu</v>
      </c>
      <c r="K8" s="10" t="str">
        <f aca="false">TEXT(K9,"DDD")</f>
        <v>Sat</v>
      </c>
      <c r="L8" s="10" t="str">
        <f aca="false">TEXT(L9,"DDD")</f>
        <v>Mon</v>
      </c>
      <c r="M8" s="10" t="str">
        <f aca="false">TEXT(M9,"DDD")</f>
        <v>Thu</v>
      </c>
      <c r="N8" s="10" t="str">
        <f aca="false">TEXT(N9,"DDD")</f>
        <v>Sat</v>
      </c>
      <c r="O8" s="10" t="str">
        <f aca="false">TEXT(O9,"DDD")</f>
        <v>Mon</v>
      </c>
      <c r="P8" s="10" t="str">
        <f aca="false">TEXT(P9,"DDD")</f>
        <v>Thu</v>
      </c>
      <c r="Q8" s="10" t="str">
        <f aca="false">TEXT(Q9,"DDD")</f>
        <v>Sat</v>
      </c>
      <c r="R8" s="10" t="str">
        <f aca="false">TEXT(R9,"DDD")</f>
        <v>Mon</v>
      </c>
      <c r="S8" s="10" t="str">
        <f aca="false">TEXT(S9,"DDD")</f>
        <v>Thu</v>
      </c>
      <c r="T8" s="10" t="str">
        <f aca="false">TEXT(T9,"DDD")</f>
        <v>Sat</v>
      </c>
      <c r="U8" s="10" t="str">
        <f aca="false">TEXT(U9,"DDD")</f>
        <v>Mon</v>
      </c>
      <c r="V8" s="10" t="str">
        <f aca="false">TEXT(V9,"DDD")</f>
        <v>Thu</v>
      </c>
      <c r="W8" s="10" t="str">
        <f aca="false">TEXT(W9,"DDD")</f>
        <v>Sat</v>
      </c>
      <c r="X8" s="10" t="str">
        <f aca="false">TEXT(X9,"DDD")</f>
        <v>Mon</v>
      </c>
      <c r="Y8" s="10" t="str">
        <f aca="false">TEXT(Y9,"DDD")</f>
        <v>Thu</v>
      </c>
      <c r="Z8" s="10" t="str">
        <f aca="false">TEXT(Z9,"DDD")</f>
        <v>Sat</v>
      </c>
      <c r="AA8" s="10" t="str">
        <f aca="false">TEXT(AA9,"DDD")</f>
        <v>Mon</v>
      </c>
      <c r="AB8" s="10" t="str">
        <f aca="false">TEXT(AB9,"DDD")</f>
        <v>Thu</v>
      </c>
      <c r="AC8" s="10" t="str">
        <f aca="false">TEXT(AC9,"DDD")</f>
        <v>Sat</v>
      </c>
      <c r="AD8" s="10" t="str">
        <f aca="false">TEXT(AD9,"DDD")</f>
        <v>Mon</v>
      </c>
      <c r="AE8" s="10" t="str">
        <f aca="false">TEXT(AE9,"DDD")</f>
        <v>Thu</v>
      </c>
      <c r="AF8" s="10" t="str">
        <f aca="false">TEXT(AF9,"DDD")</f>
        <v>Sat</v>
      </c>
      <c r="AG8" s="10" t="str">
        <f aca="false">TEXT(AG9,"DDD")</f>
        <v>Mon</v>
      </c>
      <c r="AH8" s="10" t="str">
        <f aca="false">TEXT(AH9,"DDD")</f>
        <v>Thu</v>
      </c>
      <c r="AI8" s="10" t="str">
        <f aca="false">TEXT(AI9,"DDD")</f>
        <v>Sat</v>
      </c>
      <c r="AJ8" s="10" t="str">
        <f aca="false">TEXT(AJ9,"DDD")</f>
        <v>Mon</v>
      </c>
      <c r="AK8" s="10" t="str">
        <f aca="false">TEXT(AK9,"DDD")</f>
        <v>Thu</v>
      </c>
      <c r="AL8" s="10" t="str">
        <f aca="false">TEXT(AL9,"DDD")</f>
        <v>Sat</v>
      </c>
      <c r="AM8" s="10" t="str">
        <f aca="false">TEXT(AM9,"DDD")</f>
        <v>Mon</v>
      </c>
      <c r="AN8" s="10" t="str">
        <f aca="false">TEXT(AN9,"DDD")</f>
        <v>Thu</v>
      </c>
      <c r="AO8" s="10" t="str">
        <f aca="false">TEXT(AO9,"DDD")</f>
        <v>Sat</v>
      </c>
      <c r="AP8" s="10" t="str">
        <f aca="false">TEXT(AP9,"DDD")</f>
        <v>Mon</v>
      </c>
      <c r="AQ8" s="10" t="str">
        <f aca="false">TEXT(AQ9,"DDD")</f>
        <v>Thu</v>
      </c>
      <c r="AR8" s="10" t="str">
        <f aca="false">TEXT(AR9,"DDD")</f>
        <v>Sat</v>
      </c>
      <c r="AS8" s="10" t="str">
        <f aca="false">TEXT(AS9,"DDD")</f>
        <v>Mon</v>
      </c>
      <c r="AT8" s="10" t="str">
        <f aca="false">TEXT(AT9,"DDD")</f>
        <v>Thu</v>
      </c>
      <c r="AU8" s="10" t="str">
        <f aca="false">TEXT(AU9,"DDD")</f>
        <v>Sat</v>
      </c>
      <c r="AV8" s="10" t="str">
        <f aca="false">TEXT(AV9,"DDD")</f>
        <v>Mon</v>
      </c>
      <c r="AW8" s="10" t="str">
        <f aca="false">TEXT(AW9,"DDD")</f>
        <v>Thu</v>
      </c>
      <c r="AX8" s="10" t="str">
        <f aca="false">TEXT(AX9,"DDD")</f>
        <v>Sat</v>
      </c>
      <c r="AY8" s="10" t="str">
        <f aca="false">TEXT(AY9,"DDD")</f>
        <v>Mon</v>
      </c>
      <c r="AZ8" s="10" t="str">
        <f aca="false">TEXT(AZ9,"DDD")</f>
        <v>Thu</v>
      </c>
      <c r="BA8" s="10" t="str">
        <f aca="false">TEXT(BA9,"DDD")</f>
        <v>Sat</v>
      </c>
      <c r="BB8" s="10" t="str">
        <f aca="false">TEXT(BB9,"DDD")</f>
        <v>Mon</v>
      </c>
      <c r="BC8" s="10" t="str">
        <f aca="false">TEXT(BC9,"DDD")</f>
        <v>Thu</v>
      </c>
      <c r="BD8" s="10" t="str">
        <f aca="false">TEXT(BD9,"DDD")</f>
        <v>Sat</v>
      </c>
      <c r="BE8" s="10" t="str">
        <f aca="false">TEXT(BE9,"DDD")</f>
        <v>Mon</v>
      </c>
      <c r="BF8" s="10" t="str">
        <f aca="false">TEXT(BF9,"DDD")</f>
        <v>Thu</v>
      </c>
      <c r="BG8" s="10" t="str">
        <f aca="false">TEXT(BG9,"DDD")</f>
        <v>Sat</v>
      </c>
      <c r="BH8" s="10" t="str">
        <f aca="false">TEXT(BH9,"DDD")</f>
        <v>Mon</v>
      </c>
      <c r="BI8" s="10" t="str">
        <f aca="false">TEXT(BI9,"DDD")</f>
        <v>Thu</v>
      </c>
      <c r="BJ8" s="10" t="str">
        <f aca="false">TEXT(BJ9,"DDD")</f>
        <v>Sat</v>
      </c>
      <c r="BK8" s="10" t="str">
        <f aca="false">TEXT(BK9,"DDD")</f>
        <v>Mon</v>
      </c>
      <c r="BL8" s="10" t="str">
        <f aca="false">TEXT(BL9,"DDD")</f>
        <v>Thu</v>
      </c>
      <c r="BM8" s="10" t="str">
        <f aca="false">TEXT(BM9,"DDD")</f>
        <v>Sat</v>
      </c>
      <c r="BN8" s="10" t="str">
        <f aca="false">TEXT(BN9,"DDD")</f>
        <v>Mon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46219</v>
      </c>
      <c r="H9" s="15" t="n">
        <f aca="false">G9+2</f>
        <v>46221</v>
      </c>
      <c r="I9" s="15" t="n">
        <f aca="false">H9+2</f>
        <v>46223</v>
      </c>
      <c r="J9" s="15" t="n">
        <f aca="false">I9+3</f>
        <v>46226</v>
      </c>
      <c r="K9" s="15" t="n">
        <f aca="false">J9+2</f>
        <v>46228</v>
      </c>
      <c r="L9" s="15" t="n">
        <f aca="false">K9+2</f>
        <v>46230</v>
      </c>
      <c r="M9" s="15" t="n">
        <f aca="false">L9+3</f>
        <v>46233</v>
      </c>
      <c r="N9" s="15" t="n">
        <f aca="false">M9+2</f>
        <v>46235</v>
      </c>
      <c r="O9" s="15" t="n">
        <f aca="false">N9+2</f>
        <v>46237</v>
      </c>
      <c r="P9" s="15" t="n">
        <f aca="false">O9+3</f>
        <v>46240</v>
      </c>
      <c r="Q9" s="15" t="n">
        <f aca="false">P9+2</f>
        <v>46242</v>
      </c>
      <c r="R9" s="15" t="n">
        <f aca="false">Q9+2</f>
        <v>46244</v>
      </c>
      <c r="S9" s="15" t="n">
        <f aca="false">R9+3</f>
        <v>46247</v>
      </c>
      <c r="T9" s="15" t="n">
        <f aca="false">S9+2</f>
        <v>46249</v>
      </c>
      <c r="U9" s="15" t="n">
        <f aca="false">T9+2</f>
        <v>46251</v>
      </c>
      <c r="V9" s="15" t="n">
        <f aca="false">U9+3</f>
        <v>46254</v>
      </c>
      <c r="W9" s="15" t="n">
        <f aca="false">V9+2</f>
        <v>46256</v>
      </c>
      <c r="X9" s="15" t="n">
        <f aca="false">W9+2</f>
        <v>46258</v>
      </c>
      <c r="Y9" s="15" t="n">
        <f aca="false">X9+3</f>
        <v>46261</v>
      </c>
      <c r="Z9" s="15" t="n">
        <f aca="false">Y9+2</f>
        <v>46263</v>
      </c>
      <c r="AA9" s="15" t="n">
        <f aca="false">Z9+2</f>
        <v>46265</v>
      </c>
      <c r="AB9" s="15" t="n">
        <f aca="false">AA9+3</f>
        <v>46268</v>
      </c>
      <c r="AC9" s="15" t="n">
        <f aca="false">AB9+2</f>
        <v>46270</v>
      </c>
      <c r="AD9" s="15" t="n">
        <f aca="false">AC9+2</f>
        <v>46272</v>
      </c>
      <c r="AE9" s="15" t="n">
        <f aca="false">AD9+3</f>
        <v>46275</v>
      </c>
      <c r="AF9" s="15" t="n">
        <f aca="false">AE9+2</f>
        <v>46277</v>
      </c>
      <c r="AG9" s="15" t="n">
        <f aca="false">AF9+2</f>
        <v>46279</v>
      </c>
      <c r="AH9" s="15" t="n">
        <f aca="false">AG9+3</f>
        <v>46282</v>
      </c>
      <c r="AI9" s="15" t="n">
        <f aca="false">AH9+2</f>
        <v>46284</v>
      </c>
      <c r="AJ9" s="15" t="n">
        <f aca="false">AI9+2</f>
        <v>46286</v>
      </c>
      <c r="AK9" s="15" t="n">
        <f aca="false">AJ9+3</f>
        <v>46289</v>
      </c>
      <c r="AL9" s="15" t="n">
        <f aca="false">AK9+2</f>
        <v>46291</v>
      </c>
      <c r="AM9" s="15" t="n">
        <f aca="false">AL9+2</f>
        <v>46293</v>
      </c>
      <c r="AN9" s="15" t="n">
        <f aca="false">AM9+3</f>
        <v>46296</v>
      </c>
      <c r="AO9" s="15" t="n">
        <f aca="false">AN9+2</f>
        <v>46298</v>
      </c>
      <c r="AP9" s="15" t="n">
        <f aca="false">AO9+2</f>
        <v>46300</v>
      </c>
      <c r="AQ9" s="15" t="n">
        <f aca="false">AP9+3</f>
        <v>46303</v>
      </c>
      <c r="AR9" s="15" t="n">
        <f aca="false">AQ9+2</f>
        <v>46305</v>
      </c>
      <c r="AS9" s="15" t="n">
        <f aca="false">AR9+2</f>
        <v>46307</v>
      </c>
      <c r="AT9" s="15" t="n">
        <f aca="false">AS9+3</f>
        <v>46310</v>
      </c>
      <c r="AU9" s="15" t="n">
        <f aca="false">AT9+2</f>
        <v>46312</v>
      </c>
      <c r="AV9" s="15" t="n">
        <f aca="false">AU9+2</f>
        <v>46314</v>
      </c>
      <c r="AW9" s="15" t="n">
        <f aca="false">AV9+3</f>
        <v>46317</v>
      </c>
      <c r="AX9" s="15" t="n">
        <f aca="false">AW9+2</f>
        <v>46319</v>
      </c>
      <c r="AY9" s="15" t="n">
        <f aca="false">AX9+2</f>
        <v>46321</v>
      </c>
      <c r="AZ9" s="15" t="n">
        <f aca="false">AY9+3</f>
        <v>46324</v>
      </c>
      <c r="BA9" s="15" t="n">
        <f aca="false">AZ9+2</f>
        <v>46326</v>
      </c>
      <c r="BB9" s="15" t="n">
        <f aca="false">BA9+2</f>
        <v>46328</v>
      </c>
      <c r="BC9" s="15" t="n">
        <f aca="false">BB9+3</f>
        <v>46331</v>
      </c>
      <c r="BD9" s="15" t="n">
        <f aca="false">BC9+2</f>
        <v>46333</v>
      </c>
      <c r="BE9" s="15" t="n">
        <f aca="false">BD9+2</f>
        <v>46335</v>
      </c>
      <c r="BF9" s="15" t="n">
        <f aca="false">BE9+3</f>
        <v>46338</v>
      </c>
      <c r="BG9" s="15" t="n">
        <f aca="false">BF9+2</f>
        <v>46340</v>
      </c>
      <c r="BH9" s="15" t="n">
        <f aca="false">BG9+2</f>
        <v>46342</v>
      </c>
      <c r="BI9" s="15" t="n">
        <f aca="false">BH9+3</f>
        <v>46345</v>
      </c>
      <c r="BJ9" s="15" t="n">
        <f aca="false">BI9+2</f>
        <v>46347</v>
      </c>
      <c r="BK9" s="15" t="n">
        <f aca="false">BJ9+2</f>
        <v>46349</v>
      </c>
      <c r="BL9" s="15" t="n">
        <f aca="false">BK9+3</f>
        <v>46352</v>
      </c>
      <c r="BM9" s="15" t="n">
        <f aca="false">BL9+2</f>
        <v>46354</v>
      </c>
      <c r="BN9" s="15" t="n">
        <f aca="false">BM9+2</f>
        <v>46356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1</v>
      </c>
      <c r="B10" s="17" t="n">
        <v>26325</v>
      </c>
      <c r="C10" s="17" t="s">
        <v>204</v>
      </c>
      <c r="D10" s="17" t="n">
        <f aca="false">COUNTIF($G10:$BN10,D$9)</f>
        <v>16</v>
      </c>
      <c r="E10" s="17" t="n">
        <f aca="false">COUNTIF($G10:$BN10,E$9)</f>
        <v>6</v>
      </c>
      <c r="F10" s="17" t="n">
        <f aca="false">COUNTIF($G10:$BN10,F$9)</f>
        <v>0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9</v>
      </c>
      <c r="M10" s="18" t="s">
        <v>9</v>
      </c>
      <c r="N10" s="18" t="s">
        <v>9</v>
      </c>
      <c r="O10" s="18" t="s">
        <v>9</v>
      </c>
      <c r="P10" s="18" t="s">
        <v>9</v>
      </c>
      <c r="Q10" s="18" t="s">
        <v>10</v>
      </c>
      <c r="R10" s="18" t="s">
        <v>9</v>
      </c>
      <c r="S10" s="18" t="s">
        <v>9</v>
      </c>
      <c r="T10" s="18" t="s">
        <v>9</v>
      </c>
      <c r="U10" s="18" t="s">
        <v>9</v>
      </c>
      <c r="V10" s="18" t="s">
        <v>9</v>
      </c>
      <c r="W10" s="18" t="s">
        <v>9</v>
      </c>
      <c r="X10" s="18" t="s">
        <v>10</v>
      </c>
      <c r="Y10" s="18" t="s">
        <v>10</v>
      </c>
      <c r="Z10" s="18" t="s">
        <v>10</v>
      </c>
      <c r="AA10" s="18" t="s">
        <v>10</v>
      </c>
      <c r="AB10" s="18" t="s">
        <v>10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2</v>
      </c>
      <c r="B11" s="17" t="n">
        <v>26343</v>
      </c>
      <c r="C11" s="17" t="s">
        <v>205</v>
      </c>
      <c r="D11" s="17" t="n">
        <f aca="false">COUNTIF($G11:$BN11,D$9)</f>
        <v>20</v>
      </c>
      <c r="E11" s="17" t="n">
        <f aca="false">COUNTIF($G11:$BN11,E$9)</f>
        <v>1</v>
      </c>
      <c r="F11" s="17" t="n">
        <f aca="false">COUNTIF($G11:$BN11,F$9)</f>
        <v>1</v>
      </c>
      <c r="G11" s="18" t="s">
        <v>9</v>
      </c>
      <c r="H11" s="18" t="s">
        <v>9</v>
      </c>
      <c r="I11" s="18" t="s">
        <v>9</v>
      </c>
      <c r="J11" s="18" t="s">
        <v>9</v>
      </c>
      <c r="K11" s="18" t="s">
        <v>9</v>
      </c>
      <c r="L11" s="18" t="s">
        <v>9</v>
      </c>
      <c r="M11" s="18" t="s">
        <v>9</v>
      </c>
      <c r="N11" s="18" t="s">
        <v>9</v>
      </c>
      <c r="O11" s="18" t="s">
        <v>9</v>
      </c>
      <c r="P11" s="18" t="s">
        <v>9</v>
      </c>
      <c r="Q11" s="18" t="s">
        <v>9</v>
      </c>
      <c r="R11" s="18" t="s">
        <v>11</v>
      </c>
      <c r="S11" s="18" t="s">
        <v>9</v>
      </c>
      <c r="T11" s="18" t="s">
        <v>9</v>
      </c>
      <c r="U11" s="18" t="s">
        <v>9</v>
      </c>
      <c r="V11" s="18" t="s">
        <v>10</v>
      </c>
      <c r="W11" s="18" t="s">
        <v>9</v>
      </c>
      <c r="X11" s="18" t="s">
        <v>9</v>
      </c>
      <c r="Y11" s="18" t="s">
        <v>9</v>
      </c>
      <c r="Z11" s="18" t="s">
        <v>9</v>
      </c>
      <c r="AA11" s="18" t="s">
        <v>9</v>
      </c>
      <c r="AB11" s="18" t="s">
        <v>9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3</v>
      </c>
      <c r="B12" s="17" t="n">
        <v>26342</v>
      </c>
      <c r="C12" s="17" t="s">
        <v>206</v>
      </c>
      <c r="D12" s="17" t="n">
        <f aca="false">COUNTIF($G12:$BN12,D$9)</f>
        <v>21</v>
      </c>
      <c r="E12" s="17" t="n">
        <f aca="false">COUNTIF($G12:$BN12,E$9)</f>
        <v>0</v>
      </c>
      <c r="F12" s="17" t="n">
        <f aca="false">COUNTIF($G12:$BN12,F$9)</f>
        <v>1</v>
      </c>
      <c r="G12" s="18" t="s">
        <v>9</v>
      </c>
      <c r="H12" s="18" t="s">
        <v>9</v>
      </c>
      <c r="I12" s="18" t="s">
        <v>9</v>
      </c>
      <c r="J12" s="18" t="s">
        <v>9</v>
      </c>
      <c r="K12" s="18" t="s">
        <v>9</v>
      </c>
      <c r="L12" s="18" t="s">
        <v>9</v>
      </c>
      <c r="M12" s="18" t="s">
        <v>9</v>
      </c>
      <c r="N12" s="18" t="s">
        <v>9</v>
      </c>
      <c r="O12" s="18" t="s">
        <v>9</v>
      </c>
      <c r="P12" s="18" t="s">
        <v>9</v>
      </c>
      <c r="Q12" s="18" t="s">
        <v>11</v>
      </c>
      <c r="R12" s="18" t="s">
        <v>9</v>
      </c>
      <c r="S12" s="18" t="s">
        <v>9</v>
      </c>
      <c r="T12" s="18" t="s">
        <v>9</v>
      </c>
      <c r="U12" s="18" t="s">
        <v>9</v>
      </c>
      <c r="V12" s="18" t="s">
        <v>9</v>
      </c>
      <c r="W12" s="18" t="s">
        <v>9</v>
      </c>
      <c r="X12" s="18" t="s">
        <v>9</v>
      </c>
      <c r="Y12" s="18" t="s">
        <v>9</v>
      </c>
      <c r="Z12" s="18" t="s">
        <v>9</v>
      </c>
      <c r="AA12" s="18" t="s">
        <v>9</v>
      </c>
      <c r="AB12" s="18" t="s">
        <v>9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4</v>
      </c>
      <c r="B13" s="17" t="n">
        <v>26329</v>
      </c>
      <c r="C13" s="17" t="s">
        <v>207</v>
      </c>
      <c r="D13" s="17" t="n">
        <f aca="false">COUNTIF($G13:$BN13,D$9)</f>
        <v>20</v>
      </c>
      <c r="E13" s="17" t="n">
        <f aca="false">COUNTIF($G13:$BN13,E$9)</f>
        <v>2</v>
      </c>
      <c r="F13" s="17" t="n">
        <f aca="false">COUNTIF($G13:$BN13,F$9)</f>
        <v>0</v>
      </c>
      <c r="G13" s="18" t="s">
        <v>9</v>
      </c>
      <c r="H13" s="18" t="s">
        <v>9</v>
      </c>
      <c r="I13" s="18" t="s">
        <v>10</v>
      </c>
      <c r="J13" s="18" t="s">
        <v>9</v>
      </c>
      <c r="K13" s="18" t="s">
        <v>9</v>
      </c>
      <c r="L13" s="18" t="s">
        <v>9</v>
      </c>
      <c r="M13" s="18" t="s">
        <v>9</v>
      </c>
      <c r="N13" s="18" t="s">
        <v>9</v>
      </c>
      <c r="O13" s="18" t="s">
        <v>9</v>
      </c>
      <c r="P13" s="18" t="s">
        <v>9</v>
      </c>
      <c r="Q13" s="18" t="s">
        <v>9</v>
      </c>
      <c r="R13" s="18" t="s">
        <v>9</v>
      </c>
      <c r="S13" s="18" t="s">
        <v>10</v>
      </c>
      <c r="T13" s="18" t="s">
        <v>9</v>
      </c>
      <c r="U13" s="18" t="s">
        <v>9</v>
      </c>
      <c r="V13" s="18" t="s">
        <v>9</v>
      </c>
      <c r="W13" s="18" t="s">
        <v>9</v>
      </c>
      <c r="X13" s="18" t="s">
        <v>9</v>
      </c>
      <c r="Y13" s="18" t="s">
        <v>9</v>
      </c>
      <c r="Z13" s="18" t="s">
        <v>9</v>
      </c>
      <c r="AA13" s="18" t="s">
        <v>9</v>
      </c>
      <c r="AB13" s="18" t="s">
        <v>9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5</v>
      </c>
      <c r="B14" s="17" t="n">
        <v>26334</v>
      </c>
      <c r="C14" s="17" t="s">
        <v>208</v>
      </c>
      <c r="D14" s="17" t="n">
        <f aca="false">COUNTIF($G14:$BN14,D$9)</f>
        <v>8</v>
      </c>
      <c r="E14" s="17" t="n">
        <f aca="false">COUNTIF($G14:$BN14,E$9)</f>
        <v>3</v>
      </c>
      <c r="F14" s="17" t="n">
        <f aca="false">COUNTIF($G14:$BN14,F$9)</f>
        <v>6</v>
      </c>
      <c r="G14" s="18" t="s">
        <v>9</v>
      </c>
      <c r="H14" s="18" t="s">
        <v>9</v>
      </c>
      <c r="I14" s="18" t="s">
        <v>9</v>
      </c>
      <c r="J14" s="18" t="s">
        <v>9</v>
      </c>
      <c r="K14" s="18" t="s">
        <v>10</v>
      </c>
      <c r="L14" s="18" t="s">
        <v>9</v>
      </c>
      <c r="M14" s="18" t="s">
        <v>9</v>
      </c>
      <c r="N14" s="18" t="s">
        <v>9</v>
      </c>
      <c r="O14" s="18" t="s">
        <v>9</v>
      </c>
      <c r="P14" s="18" t="s">
        <v>11</v>
      </c>
      <c r="Q14" s="18" t="s">
        <v>11</v>
      </c>
      <c r="R14" s="18" t="s">
        <v>11</v>
      </c>
      <c r="S14" s="18" t="s">
        <v>11</v>
      </c>
      <c r="T14" s="18" t="s">
        <v>11</v>
      </c>
      <c r="U14" s="18" t="s">
        <v>11</v>
      </c>
      <c r="V14" s="18" t="s">
        <v>10</v>
      </c>
      <c r="W14" s="18" t="s">
        <v>10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6</v>
      </c>
      <c r="B15" s="17" t="n">
        <v>26331</v>
      </c>
      <c r="C15" s="17" t="s">
        <v>209</v>
      </c>
      <c r="D15" s="17" t="n">
        <f aca="false">COUNTIF($G15:$BN15,D$9)</f>
        <v>21</v>
      </c>
      <c r="E15" s="17" t="n">
        <f aca="false">COUNTIF($G15:$BN15,E$9)</f>
        <v>1</v>
      </c>
      <c r="F15" s="17" t="n">
        <f aca="false">COUNTIF($G15:$BN15,F$9)</f>
        <v>0</v>
      </c>
      <c r="G15" s="18" t="s">
        <v>9</v>
      </c>
      <c r="H15" s="18" t="s">
        <v>9</v>
      </c>
      <c r="I15" s="18" t="s">
        <v>10</v>
      </c>
      <c r="J15" s="18" t="s">
        <v>9</v>
      </c>
      <c r="K15" s="18" t="s">
        <v>9</v>
      </c>
      <c r="L15" s="18" t="s">
        <v>9</v>
      </c>
      <c r="M15" s="18" t="s">
        <v>9</v>
      </c>
      <c r="N15" s="18" t="s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8" t="s">
        <v>9</v>
      </c>
      <c r="T15" s="18" t="s">
        <v>9</v>
      </c>
      <c r="U15" s="18" t="s">
        <v>9</v>
      </c>
      <c r="V15" s="18" t="s">
        <v>9</v>
      </c>
      <c r="W15" s="18" t="s">
        <v>9</v>
      </c>
      <c r="X15" s="18" t="s">
        <v>9</v>
      </c>
      <c r="Y15" s="18" t="s">
        <v>9</v>
      </c>
      <c r="Z15" s="18" t="s">
        <v>9</v>
      </c>
      <c r="AA15" s="18" t="s">
        <v>9</v>
      </c>
      <c r="AB15" s="18" t="s">
        <v>9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7</v>
      </c>
      <c r="B16" s="17" t="n">
        <v>26332</v>
      </c>
      <c r="C16" s="17" t="s">
        <v>210</v>
      </c>
      <c r="D16" s="17" t="n">
        <f aca="false">COUNTIF($G16:$BN16,D$9)</f>
        <v>17</v>
      </c>
      <c r="E16" s="17" t="n">
        <f aca="false">COUNTIF($G16:$BN16,E$9)</f>
        <v>9</v>
      </c>
      <c r="F16" s="17" t="n">
        <f aca="false">COUNTIF($G16:$BN16,F$9)</f>
        <v>0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 t="s">
        <v>9</v>
      </c>
      <c r="M16" s="18" t="s">
        <v>9</v>
      </c>
      <c r="N16" s="18" t="s">
        <v>9</v>
      </c>
      <c r="O16" s="18" t="s">
        <v>9</v>
      </c>
      <c r="P16" s="18" t="s">
        <v>9</v>
      </c>
      <c r="Q16" s="18" t="s">
        <v>9</v>
      </c>
      <c r="R16" s="18" t="s">
        <v>9</v>
      </c>
      <c r="S16" s="18" t="s">
        <v>10</v>
      </c>
      <c r="T16" s="18" t="s">
        <v>10</v>
      </c>
      <c r="U16" s="18" t="s">
        <v>10</v>
      </c>
      <c r="V16" s="18" t="s">
        <v>9</v>
      </c>
      <c r="W16" s="18" t="s">
        <v>9</v>
      </c>
      <c r="X16" s="18" t="s">
        <v>10</v>
      </c>
      <c r="Y16" s="18" t="s">
        <v>9</v>
      </c>
      <c r="Z16" s="18" t="s">
        <v>10</v>
      </c>
      <c r="AA16" s="18" t="s">
        <v>10</v>
      </c>
      <c r="AB16" s="18" t="s">
        <v>9</v>
      </c>
      <c r="AC16" s="18" t="s">
        <v>10</v>
      </c>
      <c r="AD16" s="18" t="s">
        <v>10</v>
      </c>
      <c r="AE16" s="18" t="s">
        <v>10</v>
      </c>
      <c r="AF16" s="18" t="s">
        <v>9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8</v>
      </c>
      <c r="B17" s="17" t="n">
        <v>26333</v>
      </c>
      <c r="C17" s="17" t="s">
        <v>211</v>
      </c>
      <c r="D17" s="17" t="n">
        <f aca="false">COUNTIF($G17:$BN17,D$9)</f>
        <v>18</v>
      </c>
      <c r="E17" s="17" t="n">
        <f aca="false">COUNTIF($G17:$BN17,E$9)</f>
        <v>4</v>
      </c>
      <c r="F17" s="17" t="n">
        <f aca="false">COUNTIF($G17:$BN17,F$9)</f>
        <v>0</v>
      </c>
      <c r="G17" s="18" t="s">
        <v>9</v>
      </c>
      <c r="H17" s="18" t="s">
        <v>9</v>
      </c>
      <c r="I17" s="18" t="s">
        <v>9</v>
      </c>
      <c r="J17" s="18" t="s">
        <v>9</v>
      </c>
      <c r="K17" s="18" t="s">
        <v>9</v>
      </c>
      <c r="L17" s="18" t="s">
        <v>9</v>
      </c>
      <c r="M17" s="18" t="s">
        <v>9</v>
      </c>
      <c r="N17" s="18" t="s">
        <v>9</v>
      </c>
      <c r="O17" s="18" t="s">
        <v>10</v>
      </c>
      <c r="P17" s="18" t="s">
        <v>9</v>
      </c>
      <c r="Q17" s="18" t="s">
        <v>9</v>
      </c>
      <c r="R17" s="18" t="s">
        <v>9</v>
      </c>
      <c r="S17" s="18" t="s">
        <v>10</v>
      </c>
      <c r="T17" s="18" t="s">
        <v>9</v>
      </c>
      <c r="U17" s="18" t="s">
        <v>9</v>
      </c>
      <c r="V17" s="18" t="s">
        <v>9</v>
      </c>
      <c r="W17" s="18" t="s">
        <v>9</v>
      </c>
      <c r="X17" s="18" t="s">
        <v>10</v>
      </c>
      <c r="Y17" s="18" t="s">
        <v>9</v>
      </c>
      <c r="Z17" s="18" t="s">
        <v>9</v>
      </c>
      <c r="AA17" s="18" t="s">
        <v>10</v>
      </c>
      <c r="AB17" s="18" t="s">
        <v>9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10</v>
      </c>
      <c r="B18" s="17" t="n">
        <v>26337</v>
      </c>
      <c r="C18" s="17" t="s">
        <v>212</v>
      </c>
      <c r="D18" s="17" t="n">
        <f aca="false">COUNTIF($G18:$BN18,D$9)</f>
        <v>15</v>
      </c>
      <c r="E18" s="17" t="n">
        <f aca="false">COUNTIF($G18:$BN18,E$9)</f>
        <v>5</v>
      </c>
      <c r="F18" s="17" t="n">
        <f aca="false">COUNTIF($G18:$BN18,F$9)</f>
        <v>0</v>
      </c>
      <c r="G18" s="18"/>
      <c r="H18" s="18"/>
      <c r="I18" s="18" t="s">
        <v>9</v>
      </c>
      <c r="J18" s="18" t="s">
        <v>9</v>
      </c>
      <c r="K18" s="18" t="s">
        <v>9</v>
      </c>
      <c r="L18" s="18" t="s">
        <v>9</v>
      </c>
      <c r="M18" s="18" t="s">
        <v>10</v>
      </c>
      <c r="N18" s="18" t="s">
        <v>9</v>
      </c>
      <c r="O18" s="18" t="s">
        <v>10</v>
      </c>
      <c r="P18" s="18" t="s">
        <v>9</v>
      </c>
      <c r="Q18" s="18" t="s">
        <v>9</v>
      </c>
      <c r="R18" s="18" t="s">
        <v>9</v>
      </c>
      <c r="S18" s="18" t="s">
        <v>10</v>
      </c>
      <c r="T18" s="18" t="s">
        <v>9</v>
      </c>
      <c r="U18" s="18" t="s">
        <v>9</v>
      </c>
      <c r="V18" s="18" t="s">
        <v>9</v>
      </c>
      <c r="W18" s="18" t="s">
        <v>9</v>
      </c>
      <c r="X18" s="18" t="s">
        <v>10</v>
      </c>
      <c r="Y18" s="18" t="s">
        <v>9</v>
      </c>
      <c r="Z18" s="18" t="s">
        <v>9</v>
      </c>
      <c r="AA18" s="18" t="s">
        <v>10</v>
      </c>
      <c r="AB18" s="18" t="s">
        <v>9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12</v>
      </c>
      <c r="B19" s="17"/>
      <c r="C19" s="17" t="s">
        <v>213</v>
      </c>
      <c r="D19" s="17" t="n">
        <f aca="false">COUNTIF($G19:$BN19,D$9)</f>
        <v>12</v>
      </c>
      <c r="E19" s="17" t="n">
        <f aca="false">COUNTIF($G19:$BN19,E$9)</f>
        <v>7</v>
      </c>
      <c r="F19" s="17" t="n">
        <f aca="false">COUNTIF($G19:$BN19,F$9)</f>
        <v>0</v>
      </c>
      <c r="G19" s="18"/>
      <c r="H19" s="18"/>
      <c r="I19" s="18"/>
      <c r="J19" s="18" t="s">
        <v>9</v>
      </c>
      <c r="K19" s="18" t="s">
        <v>10</v>
      </c>
      <c r="L19" s="18" t="s">
        <v>10</v>
      </c>
      <c r="M19" s="18" t="s">
        <v>9</v>
      </c>
      <c r="N19" s="18" t="s">
        <v>9</v>
      </c>
      <c r="O19" s="18" t="s">
        <v>10</v>
      </c>
      <c r="P19" s="18" t="s">
        <v>9</v>
      </c>
      <c r="Q19" s="18" t="s">
        <v>9</v>
      </c>
      <c r="R19" s="18" t="s">
        <v>10</v>
      </c>
      <c r="S19" s="18" t="s">
        <v>10</v>
      </c>
      <c r="T19" s="18" t="s">
        <v>9</v>
      </c>
      <c r="U19" s="18" t="s">
        <v>10</v>
      </c>
      <c r="V19" s="18" t="s">
        <v>9</v>
      </c>
      <c r="W19" s="18" t="s">
        <v>9</v>
      </c>
      <c r="X19" s="18" t="s">
        <v>10</v>
      </c>
      <c r="Y19" s="18" t="s">
        <v>9</v>
      </c>
      <c r="Z19" s="18" t="s">
        <v>9</v>
      </c>
      <c r="AA19" s="18" t="s">
        <v>9</v>
      </c>
      <c r="AB19" s="18" t="s">
        <v>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13</v>
      </c>
      <c r="B20" s="17" t="n">
        <v>26338</v>
      </c>
      <c r="C20" s="17" t="s">
        <v>214</v>
      </c>
      <c r="D20" s="17" t="n">
        <f aca="false">COUNTIF($G20:$BN20,D$9)</f>
        <v>10</v>
      </c>
      <c r="E20" s="17" t="n">
        <f aca="false">COUNTIF($G20:$BN20,E$9)</f>
        <v>6</v>
      </c>
      <c r="F20" s="17" t="n">
        <f aca="false">COUNTIF($G20:$BN20,F$9)</f>
        <v>1</v>
      </c>
      <c r="G20" s="18"/>
      <c r="H20" s="18"/>
      <c r="I20" s="18"/>
      <c r="J20" s="18"/>
      <c r="K20" s="18"/>
      <c r="L20" s="18" t="s">
        <v>9</v>
      </c>
      <c r="M20" s="18" t="s">
        <v>9</v>
      </c>
      <c r="N20" s="18" t="s">
        <v>9</v>
      </c>
      <c r="O20" s="18" t="s">
        <v>9</v>
      </c>
      <c r="P20" s="18" t="s">
        <v>9</v>
      </c>
      <c r="Q20" s="18" t="s">
        <v>11</v>
      </c>
      <c r="R20" s="18" t="s">
        <v>9</v>
      </c>
      <c r="S20" s="18" t="s">
        <v>9</v>
      </c>
      <c r="T20" s="18" t="s">
        <v>9</v>
      </c>
      <c r="U20" s="18" t="s">
        <v>10</v>
      </c>
      <c r="V20" s="18" t="s">
        <v>9</v>
      </c>
      <c r="W20" s="18" t="s">
        <v>9</v>
      </c>
      <c r="X20" s="18" t="s">
        <v>10</v>
      </c>
      <c r="Y20" s="18" t="s">
        <v>10</v>
      </c>
      <c r="Z20" s="18" t="s">
        <v>10</v>
      </c>
      <c r="AA20" s="18" t="s">
        <v>10</v>
      </c>
      <c r="AB20" s="18" t="s">
        <v>10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14</v>
      </c>
      <c r="B21" s="17" t="n">
        <v>26339</v>
      </c>
      <c r="C21" s="17" t="s">
        <v>215</v>
      </c>
      <c r="D21" s="17" t="n">
        <f aca="false">COUNTIF($G21:$BN21,D$9)</f>
        <v>10</v>
      </c>
      <c r="E21" s="17" t="n">
        <f aca="false">COUNTIF($G21:$BN21,E$9)</f>
        <v>6</v>
      </c>
      <c r="F21" s="17" t="n">
        <f aca="false">COUNTIF($G21:$BN21,F$9)</f>
        <v>0</v>
      </c>
      <c r="G21" s="18"/>
      <c r="H21" s="18"/>
      <c r="I21" s="18"/>
      <c r="J21" s="18"/>
      <c r="K21" s="18"/>
      <c r="L21" s="18"/>
      <c r="M21" s="18" t="s">
        <v>9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9</v>
      </c>
      <c r="S21" s="18" t="s">
        <v>10</v>
      </c>
      <c r="T21" s="18" t="s">
        <v>9</v>
      </c>
      <c r="U21" s="18" t="s">
        <v>10</v>
      </c>
      <c r="V21" s="18" t="s">
        <v>9</v>
      </c>
      <c r="W21" s="18" t="s">
        <v>10</v>
      </c>
      <c r="X21" s="18" t="s">
        <v>10</v>
      </c>
      <c r="Y21" s="18" t="s">
        <v>10</v>
      </c>
      <c r="Z21" s="18" t="s">
        <v>10</v>
      </c>
      <c r="AA21" s="18" t="s">
        <v>9</v>
      </c>
      <c r="AB21" s="18" t="s">
        <v>9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 t="n">
        <v>15</v>
      </c>
      <c r="B22" s="17" t="n">
        <v>26315</v>
      </c>
      <c r="C22" s="122" t="s">
        <v>188</v>
      </c>
      <c r="D22" s="17" t="n">
        <f aca="false">COUNTIF($G22:$BN22,D$9)</f>
        <v>5</v>
      </c>
      <c r="E22" s="17" t="n">
        <f aca="false">COUNTIF($G22:$BN22,E$9)</f>
        <v>4</v>
      </c>
      <c r="F22" s="17" t="n">
        <f aca="false">COUNTIF($G22:$BN22,F$9)</f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">
        <v>9</v>
      </c>
      <c r="U22" s="18" t="s">
        <v>9</v>
      </c>
      <c r="V22" s="18" t="s">
        <v>9</v>
      </c>
      <c r="W22" s="18" t="s">
        <v>9</v>
      </c>
      <c r="X22" s="18" t="s">
        <v>9</v>
      </c>
      <c r="Y22" s="18" t="s">
        <v>10</v>
      </c>
      <c r="Z22" s="18" t="s">
        <v>10</v>
      </c>
      <c r="AA22" s="18" t="s">
        <v>10</v>
      </c>
      <c r="AB22" s="18" t="s">
        <v>10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 t="n">
        <v>16</v>
      </c>
      <c r="B23" s="17"/>
      <c r="C23" s="17"/>
      <c r="D23" s="17" t="n">
        <f aca="false">COUNTIF($G23:$BN23,D$9)</f>
        <v>0</v>
      </c>
      <c r="E23" s="17" t="n">
        <f aca="false">COUNTIF($G23:$BN23,E$9)</f>
        <v>0</v>
      </c>
      <c r="F23" s="17" t="n">
        <f aca="false">COUNTIF($G23:$BN23,F$9)</f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/>
      <c r="B24" s="17"/>
      <c r="C24" s="17"/>
      <c r="D24" s="17" t="n">
        <f aca="false">COUNTIF($G24:$BN24,D$9)</f>
        <v>0</v>
      </c>
      <c r="E24" s="17" t="n">
        <f aca="false">COUNTIF($G24:$BN24,E$9)</f>
        <v>1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 t="s">
        <v>10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/>
      <c r="B25" s="17"/>
      <c r="C25" s="17"/>
      <c r="D25" s="17" t="n">
        <f aca="false">COUNTIF($G25:$BN25,D$9)</f>
        <v>0</v>
      </c>
      <c r="E25" s="17" t="n">
        <f aca="false">COUNTIF($G25:$BN25,E$9)</f>
        <v>0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/>
      <c r="B26" s="17"/>
      <c r="C26" s="17"/>
      <c r="D26" s="17" t="n">
        <f aca="false">COUNTIF($G26:$BN26,D$9)</f>
        <v>0</v>
      </c>
      <c r="E26" s="17" t="n">
        <f aca="false">COUNTIF($G26:$BN26,E$9)</f>
        <v>0</v>
      </c>
      <c r="F26" s="17" t="n">
        <f aca="false">COUNTIF($G26:$BN26,F$9)</f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7"/>
      <c r="B27" s="17"/>
      <c r="C27" s="17"/>
      <c r="D27" s="17" t="n">
        <f aca="false">COUNTIF($G27:$BN27,D$9)</f>
        <v>0</v>
      </c>
      <c r="E27" s="17" t="n">
        <f aca="false">COUNTIF($G27:$BN27,E$9)</f>
        <v>0</v>
      </c>
      <c r="F27" s="17" t="n">
        <f aca="false">COUNTIF($G27:$BN27,F$9)</f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10:BN27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7:BN7" type="list">
      <formula1>"SHAKIL,NAZRUL ISLAN,TANVIR ISLAM,SHOFIQUL ISLAM"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20.25"/>
    <col collapsed="false" customWidth="true" hidden="false" outlineLevel="0" max="3" min="3" style="0" width="28.25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G2" s="3" t="s">
        <v>216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46264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46142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125</v>
      </c>
      <c r="H7" s="9" t="s">
        <v>125</v>
      </c>
      <c r="I7" s="9" t="s">
        <v>217</v>
      </c>
      <c r="J7" s="9" t="s">
        <v>217</v>
      </c>
      <c r="K7" s="9" t="s">
        <v>217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46264</v>
      </c>
      <c r="H9" s="15" t="n">
        <f aca="false">G9+2</f>
        <v>46266</v>
      </c>
      <c r="I9" s="15" t="n">
        <f aca="false">H9+2</f>
        <v>46268</v>
      </c>
      <c r="J9" s="15" t="n">
        <f aca="false">I9+3</f>
        <v>46271</v>
      </c>
      <c r="K9" s="15" t="n">
        <f aca="false">J9+2</f>
        <v>46273</v>
      </c>
      <c r="L9" s="15" t="n">
        <f aca="false">K9+2</f>
        <v>46275</v>
      </c>
      <c r="M9" s="15" t="n">
        <f aca="false">L9+3</f>
        <v>46278</v>
      </c>
      <c r="N9" s="15" t="n">
        <f aca="false">M9+2</f>
        <v>46280</v>
      </c>
      <c r="O9" s="15" t="n">
        <f aca="false">N9+2</f>
        <v>46282</v>
      </c>
      <c r="P9" s="15" t="n">
        <f aca="false">O9+3</f>
        <v>46285</v>
      </c>
      <c r="Q9" s="15" t="n">
        <f aca="false">P9+2</f>
        <v>46287</v>
      </c>
      <c r="R9" s="15" t="n">
        <f aca="false">Q9+2</f>
        <v>46289</v>
      </c>
      <c r="S9" s="15" t="n">
        <f aca="false">R9+3</f>
        <v>46292</v>
      </c>
      <c r="T9" s="15" t="n">
        <f aca="false">S9+2</f>
        <v>46294</v>
      </c>
      <c r="U9" s="15" t="n">
        <f aca="false">T9+2</f>
        <v>46296</v>
      </c>
      <c r="V9" s="15" t="n">
        <f aca="false">U9+3</f>
        <v>46299</v>
      </c>
      <c r="W9" s="15" t="n">
        <f aca="false">V9+2</f>
        <v>46301</v>
      </c>
      <c r="X9" s="15" t="n">
        <f aca="false">W9+2</f>
        <v>46303</v>
      </c>
      <c r="Y9" s="15" t="n">
        <f aca="false">X9+3</f>
        <v>46306</v>
      </c>
      <c r="Z9" s="15" t="n">
        <f aca="false">Y9+2</f>
        <v>46308</v>
      </c>
      <c r="AA9" s="15" t="n">
        <f aca="false">Z9+2</f>
        <v>46310</v>
      </c>
      <c r="AB9" s="15" t="n">
        <f aca="false">AA9+3</f>
        <v>46313</v>
      </c>
      <c r="AC9" s="15" t="n">
        <f aca="false">AB9+2</f>
        <v>46315</v>
      </c>
      <c r="AD9" s="15" t="n">
        <f aca="false">AC9+2</f>
        <v>46317</v>
      </c>
      <c r="AE9" s="15" t="n">
        <f aca="false">AD9+3</f>
        <v>46320</v>
      </c>
      <c r="AF9" s="15" t="n">
        <f aca="false">AE9+2</f>
        <v>46322</v>
      </c>
      <c r="AG9" s="15" t="n">
        <f aca="false">AF9+2</f>
        <v>46324</v>
      </c>
      <c r="AH9" s="15" t="n">
        <f aca="false">AG9+3</f>
        <v>46327</v>
      </c>
      <c r="AI9" s="15" t="n">
        <f aca="false">AH9+2</f>
        <v>46329</v>
      </c>
      <c r="AJ9" s="15" t="n">
        <f aca="false">AI9+2</f>
        <v>46331</v>
      </c>
      <c r="AK9" s="15" t="n">
        <f aca="false">AJ9+3</f>
        <v>46334</v>
      </c>
      <c r="AL9" s="15" t="n">
        <f aca="false">AK9+2</f>
        <v>46336</v>
      </c>
      <c r="AM9" s="15" t="n">
        <f aca="false">AL9+2</f>
        <v>46338</v>
      </c>
      <c r="AN9" s="15" t="n">
        <f aca="false">AM9+3</f>
        <v>46341</v>
      </c>
      <c r="AO9" s="15" t="n">
        <f aca="false">AN9+2</f>
        <v>46343</v>
      </c>
      <c r="AP9" s="15" t="n">
        <f aca="false">AO9+2</f>
        <v>46345</v>
      </c>
      <c r="AQ9" s="15" t="n">
        <f aca="false">AP9+3</f>
        <v>46348</v>
      </c>
      <c r="AR9" s="15" t="n">
        <f aca="false">AQ9+2</f>
        <v>46350</v>
      </c>
      <c r="AS9" s="15" t="n">
        <f aca="false">AR9+2</f>
        <v>46352</v>
      </c>
      <c r="AT9" s="15" t="n">
        <f aca="false">AS9+3</f>
        <v>46355</v>
      </c>
      <c r="AU9" s="15" t="n">
        <f aca="false">AT9+2</f>
        <v>46357</v>
      </c>
      <c r="AV9" s="15" t="n">
        <f aca="false">AU9+2</f>
        <v>46359</v>
      </c>
      <c r="AW9" s="15" t="n">
        <f aca="false">AV9+3</f>
        <v>46362</v>
      </c>
      <c r="AX9" s="15" t="n">
        <f aca="false">AW9+2</f>
        <v>46364</v>
      </c>
      <c r="AY9" s="15" t="n">
        <f aca="false">AX9+2</f>
        <v>46366</v>
      </c>
      <c r="AZ9" s="15" t="n">
        <f aca="false">AY9+3</f>
        <v>46369</v>
      </c>
      <c r="BA9" s="15" t="n">
        <f aca="false">AZ9+2</f>
        <v>46371</v>
      </c>
      <c r="BB9" s="15" t="n">
        <f aca="false">BA9+2</f>
        <v>46373</v>
      </c>
      <c r="BC9" s="15" t="n">
        <f aca="false">BB9+3</f>
        <v>46376</v>
      </c>
      <c r="BD9" s="15" t="n">
        <f aca="false">BC9+2</f>
        <v>46378</v>
      </c>
      <c r="BE9" s="15" t="n">
        <f aca="false">BD9+2</f>
        <v>46380</v>
      </c>
      <c r="BF9" s="15" t="n">
        <f aca="false">BE9+3</f>
        <v>46383</v>
      </c>
      <c r="BG9" s="15" t="n">
        <f aca="false">BF9+2</f>
        <v>46385</v>
      </c>
      <c r="BH9" s="15" t="n">
        <f aca="false">BG9+2</f>
        <v>46387</v>
      </c>
      <c r="BI9" s="15" t="n">
        <f aca="false">BH9+3</f>
        <v>46390</v>
      </c>
      <c r="BJ9" s="15" t="n">
        <f aca="false">BI9+2</f>
        <v>46392</v>
      </c>
      <c r="BK9" s="15" t="n">
        <f aca="false">BJ9+2</f>
        <v>46394</v>
      </c>
      <c r="BL9" s="15" t="n">
        <f aca="false">BK9+3</f>
        <v>46397</v>
      </c>
      <c r="BM9" s="15" t="n">
        <f aca="false">BL9+2</f>
        <v>46399</v>
      </c>
      <c r="BN9" s="15" t="n">
        <f aca="false">BM9+2</f>
        <v>46401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1</v>
      </c>
      <c r="B10" s="17" t="n">
        <v>26340</v>
      </c>
      <c r="C10" s="2" t="s">
        <v>218</v>
      </c>
      <c r="D10" s="17" t="n">
        <f aca="false">COUNTIF($G10:$BN10,D$9)</f>
        <v>5</v>
      </c>
      <c r="E10" s="17" t="n">
        <f aca="false">COUNTIF($G10:$BN10,E$9)</f>
        <v>0</v>
      </c>
      <c r="F10" s="17" t="n">
        <f aca="false">COUNTIF($G10:$BN10,F$9)</f>
        <v>0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2</v>
      </c>
      <c r="B11" s="17" t="n">
        <v>26341</v>
      </c>
      <c r="C11" s="17" t="s">
        <v>219</v>
      </c>
      <c r="D11" s="17" t="n">
        <f aca="false">COUNTIF($G11:$BN11,D$9)</f>
        <v>5</v>
      </c>
      <c r="E11" s="17" t="n">
        <f aca="false">COUNTIF($G11:$BN11,E$9)</f>
        <v>0</v>
      </c>
      <c r="F11" s="17" t="n">
        <f aca="false">COUNTIF($G11:$BN11,F$9)</f>
        <v>0</v>
      </c>
      <c r="G11" s="18" t="s">
        <v>9</v>
      </c>
      <c r="H11" s="18" t="s">
        <v>9</v>
      </c>
      <c r="I11" s="18" t="s">
        <v>9</v>
      </c>
      <c r="J11" s="18" t="s">
        <v>9</v>
      </c>
      <c r="K11" s="18" t="s">
        <v>9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3</v>
      </c>
      <c r="B12" s="17" t="n">
        <v>26344</v>
      </c>
      <c r="C12" s="17" t="s">
        <v>220</v>
      </c>
      <c r="D12" s="17" t="n">
        <f aca="false">COUNTIF($G12:$BN12,D$9)</f>
        <v>5</v>
      </c>
      <c r="E12" s="17" t="n">
        <f aca="false">COUNTIF($G12:$BN12,E$9)</f>
        <v>0</v>
      </c>
      <c r="F12" s="17" t="n">
        <f aca="false">COUNTIF($G12:$BN12,F$9)</f>
        <v>0</v>
      </c>
      <c r="G12" s="18" t="s">
        <v>9</v>
      </c>
      <c r="H12" s="18" t="s">
        <v>9</v>
      </c>
      <c r="I12" s="18" t="s">
        <v>9</v>
      </c>
      <c r="J12" s="18" t="s">
        <v>9</v>
      </c>
      <c r="K12" s="18" t="s">
        <v>9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4</v>
      </c>
      <c r="B13" s="17" t="n">
        <v>26349</v>
      </c>
      <c r="C13" s="17" t="s">
        <v>221</v>
      </c>
      <c r="D13" s="17" t="n">
        <f aca="false">COUNTIF($G13:$BN13,D$9)</f>
        <v>5</v>
      </c>
      <c r="E13" s="17" t="n">
        <f aca="false">COUNTIF($G13:$BN13,E$9)</f>
        <v>0</v>
      </c>
      <c r="F13" s="17" t="n">
        <f aca="false">COUNTIF($G13:$BN13,F$9)</f>
        <v>0</v>
      </c>
      <c r="G13" s="18" t="s">
        <v>9</v>
      </c>
      <c r="H13" s="18" t="s">
        <v>9</v>
      </c>
      <c r="I13" s="18" t="s">
        <v>9</v>
      </c>
      <c r="J13" s="18" t="s">
        <v>9</v>
      </c>
      <c r="K13" s="18" t="s">
        <v>9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5</v>
      </c>
      <c r="B14" s="17" t="n">
        <v>26334</v>
      </c>
      <c r="C14" s="17" t="s">
        <v>222</v>
      </c>
      <c r="D14" s="17" t="n">
        <f aca="false">COUNTIF($G14:$BN14,D$9)</f>
        <v>1</v>
      </c>
      <c r="E14" s="17" t="n">
        <f aca="false">COUNTIF($G14:$BN14,E$9)</f>
        <v>4</v>
      </c>
      <c r="F14" s="17" t="n">
        <f aca="false">COUNTIF($G14:$BN14,F$9)</f>
        <v>0</v>
      </c>
      <c r="G14" s="18" t="s">
        <v>9</v>
      </c>
      <c r="H14" s="18" t="s">
        <v>10</v>
      </c>
      <c r="I14" s="18" t="s">
        <v>10</v>
      </c>
      <c r="J14" s="18" t="s">
        <v>10</v>
      </c>
      <c r="K14" s="18" t="s">
        <v>10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6</v>
      </c>
      <c r="B15" s="17" t="n">
        <v>25210</v>
      </c>
      <c r="C15" s="17" t="s">
        <v>223</v>
      </c>
      <c r="D15" s="17" t="n">
        <f aca="false">COUNTIF($G15:$BN15,D$9)</f>
        <v>5</v>
      </c>
      <c r="E15" s="17" t="n">
        <f aca="false">COUNTIF($G15:$BN15,E$9)</f>
        <v>0</v>
      </c>
      <c r="F15" s="17" t="n">
        <f aca="false">COUNTIF($G15:$BN15,F$9)</f>
        <v>0</v>
      </c>
      <c r="G15" s="18" t="s">
        <v>9</v>
      </c>
      <c r="H15" s="18" t="s">
        <v>9</v>
      </c>
      <c r="I15" s="18" t="s">
        <v>9</v>
      </c>
      <c r="J15" s="18" t="s">
        <v>9</v>
      </c>
      <c r="K15" s="18" t="s">
        <v>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7</v>
      </c>
      <c r="B16" s="17" t="n">
        <v>26347</v>
      </c>
      <c r="C16" s="17" t="s">
        <v>224</v>
      </c>
      <c r="D16" s="17" t="n">
        <f aca="false">COUNTIF($G16:$BN16,D$9)</f>
        <v>5</v>
      </c>
      <c r="E16" s="17" t="n">
        <f aca="false">COUNTIF($G16:$BN16,E$9)</f>
        <v>0</v>
      </c>
      <c r="F16" s="17" t="n">
        <f aca="false">COUNTIF($G16:$BN16,F$9)</f>
        <v>0</v>
      </c>
      <c r="G16" s="18" t="s">
        <v>9</v>
      </c>
      <c r="H16" s="18" t="s">
        <v>9</v>
      </c>
      <c r="I16" s="18" t="s">
        <v>9</v>
      </c>
      <c r="J16" s="18" t="s">
        <v>9</v>
      </c>
      <c r="K16" s="18" t="s">
        <v>9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8</v>
      </c>
      <c r="B17" s="17" t="n">
        <v>26352</v>
      </c>
      <c r="C17" s="17" t="s">
        <v>225</v>
      </c>
      <c r="D17" s="17" t="n">
        <f aca="false">COUNTIF($G17:$BN17,D$9)</f>
        <v>5</v>
      </c>
      <c r="E17" s="17" t="n">
        <f aca="false">COUNTIF($G17:$BN17,E$9)</f>
        <v>0</v>
      </c>
      <c r="F17" s="17" t="n">
        <f aca="false">COUNTIF($G17:$BN17,F$9)</f>
        <v>0</v>
      </c>
      <c r="G17" s="18" t="s">
        <v>9</v>
      </c>
      <c r="H17" s="18" t="s">
        <v>9</v>
      </c>
      <c r="I17" s="18" t="s">
        <v>9</v>
      </c>
      <c r="J17" s="18" t="s">
        <v>9</v>
      </c>
      <c r="K17" s="18" t="s">
        <v>9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9</v>
      </c>
      <c r="B18" s="17" t="n">
        <v>26353</v>
      </c>
      <c r="C18" s="17" t="s">
        <v>226</v>
      </c>
      <c r="D18" s="17" t="n">
        <f aca="false">COUNTIF($G18:$BN18,D$9)</f>
        <v>5</v>
      </c>
      <c r="E18" s="17" t="n">
        <f aca="false">COUNTIF($G18:$BN18,E$9)</f>
        <v>0</v>
      </c>
      <c r="F18" s="17" t="n">
        <f aca="false">COUNTIF($G18:$BN18,F$9)</f>
        <v>0</v>
      </c>
      <c r="G18" s="18" t="s">
        <v>9</v>
      </c>
      <c r="H18" s="18" t="s">
        <v>9</v>
      </c>
      <c r="I18" s="18" t="s">
        <v>9</v>
      </c>
      <c r="J18" s="18" t="s">
        <v>9</v>
      </c>
      <c r="K18" s="18" t="s">
        <v>9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10</v>
      </c>
      <c r="B19" s="17" t="n">
        <v>26358</v>
      </c>
      <c r="C19" s="17" t="s">
        <v>227</v>
      </c>
      <c r="D19" s="17" t="n">
        <f aca="false">COUNTIF($G19:$BN19,D$9)</f>
        <v>5</v>
      </c>
      <c r="E19" s="17" t="n">
        <f aca="false">COUNTIF($G19:$BN19,E$9)</f>
        <v>0</v>
      </c>
      <c r="F19" s="17" t="n">
        <f aca="false">COUNTIF($G19:$BN19,F$9)</f>
        <v>0</v>
      </c>
      <c r="G19" s="18" t="s">
        <v>9</v>
      </c>
      <c r="H19" s="18" t="s">
        <v>9</v>
      </c>
      <c r="I19" s="18" t="s">
        <v>9</v>
      </c>
      <c r="J19" s="18" t="s">
        <v>9</v>
      </c>
      <c r="K19" s="18" t="s">
        <v>9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11</v>
      </c>
      <c r="B20" s="17" t="n">
        <v>26357</v>
      </c>
      <c r="C20" s="17" t="s">
        <v>228</v>
      </c>
      <c r="D20" s="17" t="n">
        <f aca="false">COUNTIF($G20:$BN20,D$9)</f>
        <v>5</v>
      </c>
      <c r="E20" s="17" t="n">
        <f aca="false">COUNTIF($G20:$BN20,E$9)</f>
        <v>0</v>
      </c>
      <c r="F20" s="17" t="n">
        <f aca="false">COUNTIF($G20:$BN20,F$9)</f>
        <v>0</v>
      </c>
      <c r="G20" s="18" t="s">
        <v>9</v>
      </c>
      <c r="H20" s="18" t="s">
        <v>9</v>
      </c>
      <c r="I20" s="18" t="s">
        <v>9</v>
      </c>
      <c r="J20" s="18" t="s">
        <v>9</v>
      </c>
      <c r="K20" s="18" t="s">
        <v>9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12</v>
      </c>
      <c r="B21" s="17"/>
      <c r="C21" s="17" t="s">
        <v>229</v>
      </c>
      <c r="D21" s="17" t="n">
        <f aca="false">COUNTIF($G21:$BN21,D$9)</f>
        <v>3</v>
      </c>
      <c r="E21" s="17" t="n">
        <f aca="false">COUNTIF($G21:$BN21,E$9)</f>
        <v>2</v>
      </c>
      <c r="F21" s="17" t="n">
        <f aca="false">COUNTIF($G21:$BN21,F$9)</f>
        <v>0</v>
      </c>
      <c r="G21" s="18" t="s">
        <v>9</v>
      </c>
      <c r="H21" s="18" t="s">
        <v>10</v>
      </c>
      <c r="I21" s="18" t="s">
        <v>10</v>
      </c>
      <c r="J21" s="18" t="s">
        <v>9</v>
      </c>
      <c r="K21" s="18" t="s">
        <v>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 t="n">
        <v>13</v>
      </c>
      <c r="B22" s="17" t="n">
        <v>26364</v>
      </c>
      <c r="C22" s="17" t="s">
        <v>230</v>
      </c>
      <c r="D22" s="17" t="n">
        <f aca="false">COUNTIF($G22:$BN22,D$9)</f>
        <v>5</v>
      </c>
      <c r="E22" s="17" t="n">
        <f aca="false">COUNTIF($G22:$BN22,E$9)</f>
        <v>0</v>
      </c>
      <c r="F22" s="17" t="n">
        <f aca="false">COUNTIF($G22:$BN22,F$9)</f>
        <v>0</v>
      </c>
      <c r="G22" s="18" t="s">
        <v>9</v>
      </c>
      <c r="H22" s="18" t="s">
        <v>9</v>
      </c>
      <c r="I22" s="18" t="s">
        <v>9</v>
      </c>
      <c r="J22" s="18" t="s">
        <v>9</v>
      </c>
      <c r="K22" s="18" t="s">
        <v>9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 t="n">
        <v>14</v>
      </c>
      <c r="B23" s="17" t="n">
        <v>26365</v>
      </c>
      <c r="C23" s="17" t="s">
        <v>231</v>
      </c>
      <c r="D23" s="17" t="n">
        <f aca="false">COUNTIF($G23:$BN23,D$9)</f>
        <v>5</v>
      </c>
      <c r="E23" s="17" t="n">
        <f aca="false">COUNTIF($G23:$BN23,E$9)</f>
        <v>0</v>
      </c>
      <c r="F23" s="17" t="n">
        <f aca="false">COUNTIF($G23:$BN23,F$9)</f>
        <v>0</v>
      </c>
      <c r="G23" s="18" t="s">
        <v>9</v>
      </c>
      <c r="H23" s="18" t="s">
        <v>9</v>
      </c>
      <c r="I23" s="18" t="s">
        <v>9</v>
      </c>
      <c r="J23" s="18" t="s">
        <v>9</v>
      </c>
      <c r="K23" s="18" t="s">
        <v>9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 t="n">
        <v>15</v>
      </c>
      <c r="B24" s="17"/>
      <c r="C24" s="17" t="s">
        <v>232</v>
      </c>
      <c r="D24" s="17" t="n">
        <f aca="false">COUNTIF($G24:$BN24,D$9)</f>
        <v>5</v>
      </c>
      <c r="E24" s="17" t="n">
        <f aca="false">COUNTIF($G24:$BN24,E$9)</f>
        <v>0</v>
      </c>
      <c r="F24" s="17" t="n">
        <f aca="false">COUNTIF($G24:$BN24,F$9)</f>
        <v>0</v>
      </c>
      <c r="G24" s="18" t="s">
        <v>9</v>
      </c>
      <c r="H24" s="18" t="s">
        <v>9</v>
      </c>
      <c r="I24" s="18" t="s">
        <v>9</v>
      </c>
      <c r="J24" s="18" t="s">
        <v>9</v>
      </c>
      <c r="K24" s="18" t="s">
        <v>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 t="n">
        <v>16</v>
      </c>
      <c r="B25" s="17" t="n">
        <v>25238</v>
      </c>
      <c r="C25" s="17" t="s">
        <v>23</v>
      </c>
      <c r="D25" s="17" t="n">
        <f aca="false">COUNTIF($G25:$BN25,D$9)</f>
        <v>5</v>
      </c>
      <c r="E25" s="17" t="n">
        <f aca="false">COUNTIF($G25:$BN25,E$9)</f>
        <v>0</v>
      </c>
      <c r="F25" s="17" t="n">
        <f aca="false">COUNTIF($G25:$BN25,F$9)</f>
        <v>0</v>
      </c>
      <c r="G25" s="18" t="s">
        <v>9</v>
      </c>
      <c r="H25" s="18" t="s">
        <v>9</v>
      </c>
      <c r="I25" s="18" t="s">
        <v>9</v>
      </c>
      <c r="J25" s="18" t="s">
        <v>9</v>
      </c>
      <c r="K25" s="18" t="s">
        <v>9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 t="n">
        <v>17</v>
      </c>
      <c r="B26" s="17" t="n">
        <v>26359</v>
      </c>
      <c r="C26" s="17" t="s">
        <v>233</v>
      </c>
      <c r="D26" s="17" t="n">
        <f aca="false">COUNTIF($G26:$BN26,D$9)</f>
        <v>5</v>
      </c>
      <c r="E26" s="17" t="n">
        <f aca="false">COUNTIF($G26:$BN26,E$9)</f>
        <v>0</v>
      </c>
      <c r="F26" s="17" t="n">
        <f aca="false">COUNTIF($G26:$BN26,F$9)</f>
        <v>0</v>
      </c>
      <c r="G26" s="18" t="s">
        <v>9</v>
      </c>
      <c r="H26" s="18" t="s">
        <v>9</v>
      </c>
      <c r="I26" s="18" t="s">
        <v>9</v>
      </c>
      <c r="J26" s="18" t="s">
        <v>9</v>
      </c>
      <c r="K26" s="18" t="s">
        <v>9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7" t="n">
        <v>18</v>
      </c>
      <c r="B27" s="17" t="n">
        <v>26361</v>
      </c>
      <c r="C27" s="17" t="s">
        <v>234</v>
      </c>
      <c r="D27" s="17" t="n">
        <f aca="false">COUNTIF($G27:$BN27,D$9)</f>
        <v>5</v>
      </c>
      <c r="E27" s="17" t="n">
        <f aca="false">COUNTIF($G27:$BN27,E$9)</f>
        <v>0</v>
      </c>
      <c r="F27" s="17" t="n">
        <f aca="false">COUNTIF($G27:$BN27,F$9)</f>
        <v>0</v>
      </c>
      <c r="G27" s="18" t="s">
        <v>9</v>
      </c>
      <c r="H27" s="18" t="s">
        <v>9</v>
      </c>
      <c r="I27" s="18" t="s">
        <v>9</v>
      </c>
      <c r="J27" s="18" t="s">
        <v>9</v>
      </c>
      <c r="K27" s="18" t="s">
        <v>9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customFormat="false" ht="15.75" hidden="false" customHeight="true" outlineLevel="0" collapsed="false">
      <c r="A28" s="17" t="n">
        <v>19</v>
      </c>
      <c r="B28" s="17"/>
      <c r="C28" s="17" t="s">
        <v>235</v>
      </c>
      <c r="D28" s="17" t="n">
        <f aca="false">COUNTIF($G28:$BN28,D$9)</f>
        <v>5</v>
      </c>
      <c r="E28" s="17" t="n">
        <f aca="false">COUNTIF($G28:$BN28,E$9)</f>
        <v>0</v>
      </c>
      <c r="F28" s="17" t="n">
        <f aca="false">COUNTIF($G28:$BN28,F$9)</f>
        <v>0</v>
      </c>
      <c r="G28" s="18" t="s">
        <v>9</v>
      </c>
      <c r="H28" s="18" t="s">
        <v>9</v>
      </c>
      <c r="I28" s="18" t="s">
        <v>9</v>
      </c>
      <c r="J28" s="18" t="s">
        <v>9</v>
      </c>
      <c r="K28" s="18" t="s">
        <v>9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</row>
    <row r="29" customFormat="false" ht="15.75" hidden="false" customHeight="true" outlineLevel="0" collapsed="false">
      <c r="A29" s="26" t="n">
        <v>20</v>
      </c>
      <c r="B29" s="26" t="n">
        <v>26367</v>
      </c>
      <c r="C29" s="26" t="s">
        <v>236</v>
      </c>
      <c r="D29" s="26" t="n">
        <f aca="false">COUNTIF($G29:$BN29,D$9)</f>
        <v>4</v>
      </c>
      <c r="E29" s="26" t="n">
        <f aca="false">COUNTIF($G29:$BN29,E$9)</f>
        <v>1</v>
      </c>
      <c r="F29" s="26" t="n">
        <f aca="false">COUNTIF($G29:$BN29,F$9)</f>
        <v>0</v>
      </c>
      <c r="G29" s="29" t="s">
        <v>9</v>
      </c>
      <c r="H29" s="29" t="s">
        <v>9</v>
      </c>
      <c r="I29" s="18" t="s">
        <v>9</v>
      </c>
      <c r="J29" s="18" t="s">
        <v>9</v>
      </c>
      <c r="K29" s="29" t="s">
        <v>10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</row>
    <row r="30" customFormat="false" ht="15.75" hidden="false" customHeight="true" outlineLevel="0" collapsed="false">
      <c r="A30" s="47" t="n">
        <v>21</v>
      </c>
      <c r="B30" s="47" t="n">
        <v>26362</v>
      </c>
      <c r="C30" s="47" t="s">
        <v>237</v>
      </c>
      <c r="D30" s="26" t="n">
        <f aca="false">COUNTIF($G30:$BN30,D$9)</f>
        <v>5</v>
      </c>
      <c r="E30" s="26" t="n">
        <f aca="false">COUNTIF($G30:$BN30,E$9)</f>
        <v>0</v>
      </c>
      <c r="F30" s="26" t="n">
        <f aca="false">COUNTIF($G30:$BN30,F$9)</f>
        <v>0</v>
      </c>
      <c r="G30" s="48" t="s">
        <v>9</v>
      </c>
      <c r="H30" s="48" t="s">
        <v>9</v>
      </c>
      <c r="I30" s="48" t="s">
        <v>9</v>
      </c>
      <c r="J30" s="18" t="s">
        <v>9</v>
      </c>
      <c r="K30" s="48" t="s">
        <v>9</v>
      </c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</row>
    <row r="31" customFormat="false" ht="15.75" hidden="false" customHeight="true" outlineLevel="0" collapsed="false">
      <c r="A31" s="47" t="n">
        <v>22</v>
      </c>
      <c r="B31" s="47" t="n">
        <v>26363</v>
      </c>
      <c r="C31" s="47" t="s">
        <v>238</v>
      </c>
      <c r="D31" s="26" t="n">
        <f aca="false">COUNTIF($G31:$BN31,D$9)</f>
        <v>5</v>
      </c>
      <c r="E31" s="26" t="n">
        <f aca="false">COUNTIF($G31:$BN31,E$9)</f>
        <v>0</v>
      </c>
      <c r="F31" s="26" t="n">
        <f aca="false">COUNTIF($G31:$BN31,F$9)</f>
        <v>0</v>
      </c>
      <c r="G31" s="48" t="s">
        <v>9</v>
      </c>
      <c r="H31" s="48" t="s">
        <v>9</v>
      </c>
      <c r="I31" s="48" t="s">
        <v>9</v>
      </c>
      <c r="J31" s="48" t="s">
        <v>9</v>
      </c>
      <c r="K31" s="48" t="s">
        <v>9</v>
      </c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</row>
    <row r="32" customFormat="false" ht="15.75" hidden="false" customHeight="true" outlineLevel="0" collapsed="false">
      <c r="A32" s="47" t="n">
        <v>23</v>
      </c>
      <c r="B32" s="47"/>
      <c r="C32" s="47" t="s">
        <v>239</v>
      </c>
      <c r="D32" s="26" t="n">
        <f aca="false">COUNTIF($G32:$BN32,D$9)</f>
        <v>3</v>
      </c>
      <c r="E32" s="26" t="n">
        <f aca="false">COUNTIF($G32:$BN32,E$9)</f>
        <v>2</v>
      </c>
      <c r="F32" s="26" t="n">
        <f aca="false">COUNTIF($G32:$BN32,F$9)</f>
        <v>0</v>
      </c>
      <c r="G32" s="48" t="s">
        <v>9</v>
      </c>
      <c r="H32" s="48" t="s">
        <v>10</v>
      </c>
      <c r="I32" s="48" t="s">
        <v>10</v>
      </c>
      <c r="J32" s="48" t="s">
        <v>9</v>
      </c>
      <c r="K32" s="48" t="s">
        <v>9</v>
      </c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</row>
    <row r="33" customFormat="false" ht="15.75" hidden="false" customHeight="true" outlineLevel="0" collapsed="false">
      <c r="A33" s="47" t="n">
        <v>24</v>
      </c>
      <c r="B33" s="47" t="n">
        <v>26368</v>
      </c>
      <c r="C33" s="47" t="s">
        <v>240</v>
      </c>
      <c r="D33" s="26" t="n">
        <f aca="false">COUNTIF($G33:$BN33,D$9)</f>
        <v>5</v>
      </c>
      <c r="E33" s="26" t="n">
        <f aca="false">COUNTIF($G33:$BN33,E$9)</f>
        <v>0</v>
      </c>
      <c r="F33" s="26" t="n">
        <f aca="false">COUNTIF($G33:$BN33,F$9)</f>
        <v>0</v>
      </c>
      <c r="G33" s="48" t="s">
        <v>9</v>
      </c>
      <c r="H33" s="48" t="s">
        <v>9</v>
      </c>
      <c r="I33" s="48" t="s">
        <v>9</v>
      </c>
      <c r="J33" s="48" t="s">
        <v>9</v>
      </c>
      <c r="K33" s="48" t="s">
        <v>9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</row>
    <row r="34" customFormat="false" ht="15.75" hidden="false" customHeight="true" outlineLevel="0" collapsed="false">
      <c r="A34" s="47" t="n">
        <v>25</v>
      </c>
      <c r="B34" s="47" t="n">
        <v>26366</v>
      </c>
      <c r="C34" s="47" t="s">
        <v>241</v>
      </c>
      <c r="D34" s="26" t="n">
        <f aca="false">COUNTIF($G34:$BN34,D$9)</f>
        <v>5</v>
      </c>
      <c r="E34" s="26" t="n">
        <f aca="false">COUNTIF($G34:$BN34,E$9)</f>
        <v>0</v>
      </c>
      <c r="F34" s="26" t="n">
        <f aca="false">COUNTIF($G34:$BN34,F$9)</f>
        <v>0</v>
      </c>
      <c r="G34" s="48" t="s">
        <v>9</v>
      </c>
      <c r="H34" s="48" t="s">
        <v>9</v>
      </c>
      <c r="I34" s="48" t="s">
        <v>9</v>
      </c>
      <c r="J34" s="48" t="s">
        <v>9</v>
      </c>
      <c r="K34" s="48" t="s">
        <v>9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</row>
    <row r="35" customFormat="false" ht="15.75" hidden="false" customHeight="true" outlineLevel="0" collapsed="false">
      <c r="A35" s="47" t="n">
        <v>26</v>
      </c>
      <c r="B35" s="47" t="n">
        <v>26369</v>
      </c>
      <c r="C35" s="47" t="s">
        <v>242</v>
      </c>
      <c r="D35" s="26" t="n">
        <f aca="false">COUNTIF($G35:$BN35,D$9)</f>
        <v>5</v>
      </c>
      <c r="E35" s="26" t="n">
        <f aca="false">COUNTIF($G35:$BN35,E$9)</f>
        <v>0</v>
      </c>
      <c r="F35" s="26" t="n">
        <f aca="false">COUNTIF($G35:$BN35,F$9)</f>
        <v>0</v>
      </c>
      <c r="G35" s="48" t="s">
        <v>9</v>
      </c>
      <c r="H35" s="48" t="s">
        <v>9</v>
      </c>
      <c r="I35" s="48" t="s">
        <v>9</v>
      </c>
      <c r="J35" s="48" t="s">
        <v>9</v>
      </c>
      <c r="K35" s="48" t="s">
        <v>9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</row>
    <row r="36" customFormat="false" ht="15.75" hidden="false" customHeight="true" outlineLevel="0" collapsed="false">
      <c r="A36" s="85" t="n">
        <v>27</v>
      </c>
      <c r="B36" s="85"/>
      <c r="C36" s="85" t="s">
        <v>243</v>
      </c>
      <c r="D36" s="85" t="n">
        <f aca="false">COUNTIF($G36:$BN36,D$9)</f>
        <v>4</v>
      </c>
      <c r="E36" s="85" t="n">
        <f aca="false">COUNTIF($G36:$BN36,E$9)</f>
        <v>1</v>
      </c>
      <c r="F36" s="26" t="n">
        <f aca="false">COUNTIF($G36:$BN36,F$9)</f>
        <v>0</v>
      </c>
      <c r="G36" s="89" t="s">
        <v>9</v>
      </c>
      <c r="H36" s="89" t="s">
        <v>9</v>
      </c>
      <c r="I36" s="89" t="s">
        <v>9</v>
      </c>
      <c r="J36" s="89" t="s">
        <v>9</v>
      </c>
      <c r="K36" s="89" t="s">
        <v>10</v>
      </c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</row>
    <row r="37" customFormat="false" ht="15.75" hidden="false" customHeight="true" outlineLevel="0" collapsed="false">
      <c r="A37" s="85" t="n">
        <v>28</v>
      </c>
      <c r="B37" s="85" t="n">
        <v>26371</v>
      </c>
      <c r="C37" s="85" t="s">
        <v>244</v>
      </c>
      <c r="D37" s="85" t="n">
        <f aca="false">COUNTIF($G37:$BN37,D$9)</f>
        <v>3</v>
      </c>
      <c r="E37" s="85" t="n">
        <f aca="false">COUNTIF($G37:$BN37,E$9)</f>
        <v>2</v>
      </c>
      <c r="F37" s="85" t="n">
        <f aca="false">COUNTIF($G37:$BN37,F$9)</f>
        <v>0</v>
      </c>
      <c r="G37" s="89" t="s">
        <v>10</v>
      </c>
      <c r="H37" s="89" t="s">
        <v>10</v>
      </c>
      <c r="I37" s="89" t="s">
        <v>9</v>
      </c>
      <c r="J37" s="89" t="s">
        <v>9</v>
      </c>
      <c r="K37" s="89" t="s">
        <v>9</v>
      </c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</row>
    <row r="38" customFormat="false" ht="15.75" hidden="false" customHeight="true" outlineLevel="0" collapsed="false">
      <c r="A38" s="47" t="n">
        <v>29</v>
      </c>
      <c r="B38" s="47"/>
      <c r="C38" s="47" t="s">
        <v>245</v>
      </c>
      <c r="D38" s="47" t="n">
        <f aca="false">COUNTIF($G38:$BN38,D$9)</f>
        <v>3</v>
      </c>
      <c r="E38" s="47" t="n">
        <f aca="false">COUNTIF($G38:$BN38,E$9)</f>
        <v>0</v>
      </c>
      <c r="F38" s="47" t="n">
        <f aca="false">COUNTIF($G38:$BN38,F$9)</f>
        <v>0</v>
      </c>
      <c r="G38" s="48"/>
      <c r="H38" s="48"/>
      <c r="I38" s="48" t="s">
        <v>9</v>
      </c>
      <c r="J38" s="48" t="s">
        <v>9</v>
      </c>
      <c r="K38" s="48" t="s">
        <v>9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10:BN38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7:BN7" type="list">
      <formula1>"SHAKIL,SHOFIQUL ISLAM,TANVIR ISLAMN"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63"/>
    <col collapsed="false" customWidth="true" hidden="false" outlineLevel="0" max="2" min="2" style="0" width="14.88"/>
    <col collapsed="false" customWidth="true" hidden="false" outlineLevel="0" max="3" min="3" style="0" width="27.25"/>
    <col collapsed="false" customWidth="true" hidden="false" outlineLevel="0" max="6" min="4" style="0" width="6.38"/>
    <col collapsed="false" customWidth="true" hidden="false" outlineLevel="0" max="86" min="7" style="0" width="6.25"/>
  </cols>
  <sheetData>
    <row r="1" customFormat="false" ht="15.7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B2" s="2" t="s">
        <v>0</v>
      </c>
      <c r="G2" s="3" t="s">
        <v>246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.75" hidden="false" customHeight="true" outlineLevel="0" collapsed="false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3.25" hidden="false" customHeight="true" outlineLevel="0" collapsed="false">
      <c r="B4" s="4" t="s">
        <v>2</v>
      </c>
      <c r="C4" s="5" t="n">
        <v>46243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1.25" hidden="false" customHeight="true" outlineLevel="0" collapsed="false"/>
    <row r="6" customFormat="false" ht="21" hidden="false" customHeight="true" outlineLevel="0" collapsed="false">
      <c r="B6" s="6" t="s">
        <v>3</v>
      </c>
      <c r="C6" s="7" t="n">
        <v>46367</v>
      </c>
      <c r="J6" s="8" t="s">
        <v>4</v>
      </c>
      <c r="K6" s="8"/>
      <c r="L6" s="8"/>
      <c r="M6" s="8"/>
      <c r="N6" s="8"/>
      <c r="O6" s="8"/>
      <c r="P6" s="8"/>
      <c r="Q6" s="8"/>
    </row>
    <row r="7" customFormat="false" ht="16.5" hidden="false" customHeight="true" outlineLevel="0" collapsed="false">
      <c r="A7" s="9"/>
      <c r="B7" s="9"/>
      <c r="C7" s="9"/>
      <c r="D7" s="9"/>
      <c r="E7" s="9"/>
      <c r="F7" s="9"/>
      <c r="G7" s="9" t="s">
        <v>150</v>
      </c>
      <c r="H7" s="9" t="s">
        <v>150</v>
      </c>
      <c r="I7" s="9" t="s">
        <v>5</v>
      </c>
      <c r="J7" s="9" t="s">
        <v>5</v>
      </c>
      <c r="K7" s="9" t="s">
        <v>90</v>
      </c>
      <c r="L7" s="9" t="s">
        <v>90</v>
      </c>
      <c r="M7" s="9" t="s">
        <v>90</v>
      </c>
      <c r="N7" s="9" t="s">
        <v>90</v>
      </c>
      <c r="O7" s="9" t="s">
        <v>90</v>
      </c>
      <c r="P7" s="9" t="s">
        <v>90</v>
      </c>
      <c r="Q7" s="9" t="s">
        <v>90</v>
      </c>
      <c r="R7" s="9" t="s">
        <v>90</v>
      </c>
      <c r="S7" s="9" t="s">
        <v>90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  <c r="AZ7" s="9" t="s">
        <v>5</v>
      </c>
      <c r="BA7" s="9" t="s">
        <v>5</v>
      </c>
      <c r="BB7" s="9" t="s">
        <v>5</v>
      </c>
      <c r="BC7" s="9" t="s">
        <v>5</v>
      </c>
      <c r="BD7" s="9" t="s">
        <v>5</v>
      </c>
      <c r="BE7" s="9" t="s">
        <v>5</v>
      </c>
      <c r="BF7" s="9" t="s">
        <v>5</v>
      </c>
      <c r="BG7" s="9" t="s">
        <v>5</v>
      </c>
      <c r="BH7" s="9" t="s">
        <v>5</v>
      </c>
      <c r="BI7" s="9" t="s">
        <v>5</v>
      </c>
      <c r="BJ7" s="9" t="s">
        <v>5</v>
      </c>
      <c r="BK7" s="9" t="s">
        <v>5</v>
      </c>
      <c r="BL7" s="9" t="s">
        <v>5</v>
      </c>
      <c r="BM7" s="9" t="s">
        <v>5</v>
      </c>
      <c r="BN7" s="9" t="s">
        <v>5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</row>
    <row r="8" customFormat="false" ht="15.75" hidden="false" customHeight="true" outlineLevel="0" collapsed="false">
      <c r="G8" s="10" t="str">
        <f aca="false">TEXT(G9,"DDD")</f>
        <v>Sun</v>
      </c>
      <c r="H8" s="10" t="str">
        <f aca="false">TEXT(H9,"DDD")</f>
        <v>Tue</v>
      </c>
      <c r="I8" s="10" t="str">
        <f aca="false">TEXT(I9,"DDD")</f>
        <v>Thu</v>
      </c>
      <c r="J8" s="10" t="str">
        <f aca="false">TEXT(J9,"DDD")</f>
        <v>Sun</v>
      </c>
      <c r="K8" s="10" t="str">
        <f aca="false">TEXT(K9,"DDD")</f>
        <v>Tue</v>
      </c>
      <c r="L8" s="10" t="str">
        <f aca="false">TEXT(L9,"DDD")</f>
        <v>Thu</v>
      </c>
      <c r="M8" s="10" t="str">
        <f aca="false">TEXT(M9,"DDD")</f>
        <v>Sun</v>
      </c>
      <c r="N8" s="10" t="str">
        <f aca="false">TEXT(N9,"DDD")</f>
        <v>Tue</v>
      </c>
      <c r="O8" s="10" t="str">
        <f aca="false">TEXT(O9,"DDD")</f>
        <v>Thu</v>
      </c>
      <c r="P8" s="10" t="str">
        <f aca="false">TEXT(P9,"DDD")</f>
        <v>Sun</v>
      </c>
      <c r="Q8" s="10" t="str">
        <f aca="false">TEXT(Q9,"DDD")</f>
        <v>Tue</v>
      </c>
      <c r="R8" s="10" t="str">
        <f aca="false">TEXT(R9,"DDD")</f>
        <v>Thu</v>
      </c>
      <c r="S8" s="10" t="str">
        <f aca="false">TEXT(S9,"DDD")</f>
        <v>Sun</v>
      </c>
      <c r="T8" s="10" t="str">
        <f aca="false">TEXT(T9,"DDD")</f>
        <v>Tue</v>
      </c>
      <c r="U8" s="10" t="str">
        <f aca="false">TEXT(U9,"DDD")</f>
        <v>Thu</v>
      </c>
      <c r="V8" s="10" t="str">
        <f aca="false">TEXT(V9,"DDD")</f>
        <v>Sun</v>
      </c>
      <c r="W8" s="10" t="str">
        <f aca="false">TEXT(W9,"DDD")</f>
        <v>Tue</v>
      </c>
      <c r="X8" s="10" t="str">
        <f aca="false">TEXT(X9,"DDD")</f>
        <v>Thu</v>
      </c>
      <c r="Y8" s="10" t="str">
        <f aca="false">TEXT(Y9,"DDD")</f>
        <v>Sun</v>
      </c>
      <c r="Z8" s="10" t="str">
        <f aca="false">TEXT(Z9,"DDD")</f>
        <v>Tue</v>
      </c>
      <c r="AA8" s="10" t="str">
        <f aca="false">TEXT(AA9,"DDD")</f>
        <v>Thu</v>
      </c>
      <c r="AB8" s="10" t="str">
        <f aca="false">TEXT(AB9,"DDD")</f>
        <v>Sun</v>
      </c>
      <c r="AC8" s="10" t="str">
        <f aca="false">TEXT(AC9,"DDD")</f>
        <v>Tue</v>
      </c>
      <c r="AD8" s="10" t="str">
        <f aca="false">TEXT(AD9,"DDD")</f>
        <v>Thu</v>
      </c>
      <c r="AE8" s="10" t="str">
        <f aca="false">TEXT(AE9,"DDD")</f>
        <v>Sun</v>
      </c>
      <c r="AF8" s="10" t="str">
        <f aca="false">TEXT(AF9,"DDD")</f>
        <v>Tue</v>
      </c>
      <c r="AG8" s="10" t="str">
        <f aca="false">TEXT(AG9,"DDD")</f>
        <v>Thu</v>
      </c>
      <c r="AH8" s="10" t="str">
        <f aca="false">TEXT(AH9,"DDD")</f>
        <v>Sun</v>
      </c>
      <c r="AI8" s="10" t="str">
        <f aca="false">TEXT(AI9,"DDD")</f>
        <v>Tue</v>
      </c>
      <c r="AJ8" s="10" t="str">
        <f aca="false">TEXT(AJ9,"DDD")</f>
        <v>Thu</v>
      </c>
      <c r="AK8" s="10" t="str">
        <f aca="false">TEXT(AK9,"DDD")</f>
        <v>Sun</v>
      </c>
      <c r="AL8" s="10" t="str">
        <f aca="false">TEXT(AL9,"DDD")</f>
        <v>Tue</v>
      </c>
      <c r="AM8" s="10" t="str">
        <f aca="false">TEXT(AM9,"DDD")</f>
        <v>Thu</v>
      </c>
      <c r="AN8" s="10" t="str">
        <f aca="false">TEXT(AN9,"DDD")</f>
        <v>Sun</v>
      </c>
      <c r="AO8" s="10" t="str">
        <f aca="false">TEXT(AO9,"DDD")</f>
        <v>Tue</v>
      </c>
      <c r="AP8" s="10" t="str">
        <f aca="false">TEXT(AP9,"DDD")</f>
        <v>Thu</v>
      </c>
      <c r="AQ8" s="10" t="str">
        <f aca="false">TEXT(AQ9,"DDD")</f>
        <v>Sun</v>
      </c>
      <c r="AR8" s="10" t="str">
        <f aca="false">TEXT(AR9,"DDD")</f>
        <v>Tue</v>
      </c>
      <c r="AS8" s="10" t="str">
        <f aca="false">TEXT(AS9,"DDD")</f>
        <v>Thu</v>
      </c>
      <c r="AT8" s="10" t="str">
        <f aca="false">TEXT(AT9,"DDD")</f>
        <v>Sun</v>
      </c>
      <c r="AU8" s="10" t="str">
        <f aca="false">TEXT(AU9,"DDD")</f>
        <v>Tue</v>
      </c>
      <c r="AV8" s="10" t="str">
        <f aca="false">TEXT(AV9,"DDD")</f>
        <v>Thu</v>
      </c>
      <c r="AW8" s="10" t="str">
        <f aca="false">TEXT(AW9,"DDD")</f>
        <v>Sun</v>
      </c>
      <c r="AX8" s="10" t="str">
        <f aca="false">TEXT(AX9,"DDD")</f>
        <v>Tue</v>
      </c>
      <c r="AY8" s="10" t="str">
        <f aca="false">TEXT(AY9,"DDD")</f>
        <v>Thu</v>
      </c>
      <c r="AZ8" s="10" t="str">
        <f aca="false">TEXT(AZ9,"DDD")</f>
        <v>Sun</v>
      </c>
      <c r="BA8" s="10" t="str">
        <f aca="false">TEXT(BA9,"DDD")</f>
        <v>Tue</v>
      </c>
      <c r="BB8" s="10" t="str">
        <f aca="false">TEXT(BB9,"DDD")</f>
        <v>Thu</v>
      </c>
      <c r="BC8" s="10" t="str">
        <f aca="false">TEXT(BC9,"DDD")</f>
        <v>Sun</v>
      </c>
      <c r="BD8" s="10" t="str">
        <f aca="false">TEXT(BD9,"DDD")</f>
        <v>Tue</v>
      </c>
      <c r="BE8" s="10" t="str">
        <f aca="false">TEXT(BE9,"DDD")</f>
        <v>Thu</v>
      </c>
      <c r="BF8" s="10" t="str">
        <f aca="false">TEXT(BF9,"DDD")</f>
        <v>Sun</v>
      </c>
      <c r="BG8" s="10" t="str">
        <f aca="false">TEXT(BG9,"DDD")</f>
        <v>Tue</v>
      </c>
      <c r="BH8" s="10" t="str">
        <f aca="false">TEXT(BH9,"DDD")</f>
        <v>Thu</v>
      </c>
      <c r="BI8" s="10" t="str">
        <f aca="false">TEXT(BI9,"DDD")</f>
        <v>Sun</v>
      </c>
      <c r="BJ8" s="10" t="str">
        <f aca="false">TEXT(BJ9,"DDD")</f>
        <v>Tue</v>
      </c>
      <c r="BK8" s="10" t="str">
        <f aca="false">TEXT(BK9,"DDD")</f>
        <v>Thu</v>
      </c>
      <c r="BL8" s="10" t="str">
        <f aca="false">TEXT(BL9,"DDD")</f>
        <v>Sun</v>
      </c>
      <c r="BM8" s="10" t="str">
        <f aca="false">TEXT(BM9,"DDD")</f>
        <v>Tue</v>
      </c>
      <c r="BN8" s="10" t="str">
        <f aca="false">TEXT(BN9,"DDD")</f>
        <v>Thu</v>
      </c>
    </row>
    <row r="9" customFormat="false" ht="15.75" hidden="false" customHeight="true" outlineLevel="0" collapsed="false">
      <c r="A9" s="11" t="s">
        <v>6</v>
      </c>
      <c r="B9" s="11" t="s">
        <v>7</v>
      </c>
      <c r="C9" s="11" t="s">
        <v>8</v>
      </c>
      <c r="D9" s="12" t="s">
        <v>9</v>
      </c>
      <c r="E9" s="13" t="s">
        <v>10</v>
      </c>
      <c r="F9" s="14" t="s">
        <v>11</v>
      </c>
      <c r="G9" s="15" t="n">
        <f aca="false">C4</f>
        <v>46243</v>
      </c>
      <c r="H9" s="15" t="n">
        <f aca="false">G9+2</f>
        <v>46245</v>
      </c>
      <c r="I9" s="15" t="n">
        <f aca="false">H9+2</f>
        <v>46247</v>
      </c>
      <c r="J9" s="15" t="n">
        <f aca="false">I9+3</f>
        <v>46250</v>
      </c>
      <c r="K9" s="15" t="n">
        <f aca="false">J9+2</f>
        <v>46252</v>
      </c>
      <c r="L9" s="15" t="n">
        <f aca="false">K9+2</f>
        <v>46254</v>
      </c>
      <c r="M9" s="15" t="n">
        <f aca="false">L9+3</f>
        <v>46257</v>
      </c>
      <c r="N9" s="15" t="n">
        <f aca="false">M9+2</f>
        <v>46259</v>
      </c>
      <c r="O9" s="15" t="n">
        <f aca="false">N9+2</f>
        <v>46261</v>
      </c>
      <c r="P9" s="15" t="n">
        <f aca="false">O9+3</f>
        <v>46264</v>
      </c>
      <c r="Q9" s="15" t="n">
        <f aca="false">P9+2</f>
        <v>46266</v>
      </c>
      <c r="R9" s="15" t="n">
        <f aca="false">Q9+2</f>
        <v>46268</v>
      </c>
      <c r="S9" s="15" t="n">
        <f aca="false">R9+3</f>
        <v>46271</v>
      </c>
      <c r="T9" s="15" t="n">
        <f aca="false">S9+2</f>
        <v>46273</v>
      </c>
      <c r="U9" s="15" t="n">
        <f aca="false">T9+2</f>
        <v>46275</v>
      </c>
      <c r="V9" s="15" t="n">
        <f aca="false">U9+3</f>
        <v>46278</v>
      </c>
      <c r="W9" s="15" t="n">
        <f aca="false">V9+2</f>
        <v>46280</v>
      </c>
      <c r="X9" s="15" t="n">
        <f aca="false">W9+2</f>
        <v>46282</v>
      </c>
      <c r="Y9" s="15" t="n">
        <f aca="false">X9+3</f>
        <v>46285</v>
      </c>
      <c r="Z9" s="15" t="n">
        <f aca="false">Y9+2</f>
        <v>46287</v>
      </c>
      <c r="AA9" s="15" t="n">
        <f aca="false">Z9+2</f>
        <v>46289</v>
      </c>
      <c r="AB9" s="15" t="n">
        <f aca="false">AA9+3</f>
        <v>46292</v>
      </c>
      <c r="AC9" s="15" t="n">
        <f aca="false">AB9+2</f>
        <v>46294</v>
      </c>
      <c r="AD9" s="15" t="n">
        <f aca="false">AC9+2</f>
        <v>46296</v>
      </c>
      <c r="AE9" s="15" t="n">
        <f aca="false">AD9+3</f>
        <v>46299</v>
      </c>
      <c r="AF9" s="15" t="n">
        <f aca="false">AE9+2</f>
        <v>46301</v>
      </c>
      <c r="AG9" s="15" t="n">
        <f aca="false">AF9+2</f>
        <v>46303</v>
      </c>
      <c r="AH9" s="15" t="n">
        <f aca="false">AG9+3</f>
        <v>46306</v>
      </c>
      <c r="AI9" s="15" t="n">
        <f aca="false">AH9+2</f>
        <v>46308</v>
      </c>
      <c r="AJ9" s="15" t="n">
        <f aca="false">AI9+2</f>
        <v>46310</v>
      </c>
      <c r="AK9" s="15" t="n">
        <f aca="false">AJ9+3</f>
        <v>46313</v>
      </c>
      <c r="AL9" s="15" t="n">
        <f aca="false">AK9+2</f>
        <v>46315</v>
      </c>
      <c r="AM9" s="15" t="n">
        <f aca="false">AL9+2</f>
        <v>46317</v>
      </c>
      <c r="AN9" s="15" t="n">
        <f aca="false">AM9+3</f>
        <v>46320</v>
      </c>
      <c r="AO9" s="15" t="n">
        <f aca="false">AN9+2</f>
        <v>46322</v>
      </c>
      <c r="AP9" s="15" t="n">
        <f aca="false">AO9+2</f>
        <v>46324</v>
      </c>
      <c r="AQ9" s="15" t="n">
        <f aca="false">AP9+3</f>
        <v>46327</v>
      </c>
      <c r="AR9" s="15" t="n">
        <f aca="false">AQ9+2</f>
        <v>46329</v>
      </c>
      <c r="AS9" s="15" t="n">
        <f aca="false">AR9+2</f>
        <v>46331</v>
      </c>
      <c r="AT9" s="15" t="n">
        <f aca="false">AS9+3</f>
        <v>46334</v>
      </c>
      <c r="AU9" s="15" t="n">
        <f aca="false">AT9+2</f>
        <v>46336</v>
      </c>
      <c r="AV9" s="15" t="n">
        <f aca="false">AU9+2</f>
        <v>46338</v>
      </c>
      <c r="AW9" s="15" t="n">
        <f aca="false">AV9+3</f>
        <v>46341</v>
      </c>
      <c r="AX9" s="15" t="n">
        <f aca="false">AW9+2</f>
        <v>46343</v>
      </c>
      <c r="AY9" s="15" t="n">
        <f aca="false">AX9+2</f>
        <v>46345</v>
      </c>
      <c r="AZ9" s="15" t="n">
        <f aca="false">AY9+3</f>
        <v>46348</v>
      </c>
      <c r="BA9" s="15" t="n">
        <f aca="false">AZ9+2</f>
        <v>46350</v>
      </c>
      <c r="BB9" s="15" t="n">
        <f aca="false">BA9+2</f>
        <v>46352</v>
      </c>
      <c r="BC9" s="15" t="n">
        <f aca="false">BB9+3</f>
        <v>46355</v>
      </c>
      <c r="BD9" s="15" t="n">
        <f aca="false">BC9+2</f>
        <v>46357</v>
      </c>
      <c r="BE9" s="15" t="n">
        <f aca="false">BD9+2</f>
        <v>46359</v>
      </c>
      <c r="BF9" s="15" t="n">
        <f aca="false">BE9+3</f>
        <v>46362</v>
      </c>
      <c r="BG9" s="15" t="n">
        <f aca="false">BF9+2</f>
        <v>46364</v>
      </c>
      <c r="BH9" s="15" t="n">
        <f aca="false">BG9+2</f>
        <v>46366</v>
      </c>
      <c r="BI9" s="15" t="n">
        <f aca="false">BH9+3</f>
        <v>46369</v>
      </c>
      <c r="BJ9" s="15" t="n">
        <f aca="false">BI9+2</f>
        <v>46371</v>
      </c>
      <c r="BK9" s="15" t="n">
        <f aca="false">BJ9+2</f>
        <v>46373</v>
      </c>
      <c r="BL9" s="15" t="n">
        <f aca="false">BK9+3</f>
        <v>46376</v>
      </c>
      <c r="BM9" s="15" t="n">
        <f aca="false">BL9+2</f>
        <v>46378</v>
      </c>
      <c r="BN9" s="15" t="n">
        <f aca="false">BM9+2</f>
        <v>46380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Format="false" ht="15.75" hidden="false" customHeight="true" outlineLevel="0" collapsed="false">
      <c r="A10" s="17" t="n">
        <v>1</v>
      </c>
      <c r="B10" s="17" t="n">
        <v>26236</v>
      </c>
      <c r="C10" s="17" t="s">
        <v>68</v>
      </c>
      <c r="D10" s="17" t="n">
        <f aca="false">COUNTIF($G10:$BN10,D$9)</f>
        <v>10</v>
      </c>
      <c r="E10" s="17" t="n">
        <f aca="false">COUNTIF($G10:$BN10,E$9)</f>
        <v>3</v>
      </c>
      <c r="F10" s="17" t="n">
        <f aca="false">COUNTIF($G10:$BN10,F$9)</f>
        <v>0</v>
      </c>
      <c r="G10" s="18" t="s">
        <v>9</v>
      </c>
      <c r="H10" s="18" t="s">
        <v>9</v>
      </c>
      <c r="I10" s="18" t="s">
        <v>9</v>
      </c>
      <c r="J10" s="18" t="s">
        <v>9</v>
      </c>
      <c r="K10" s="18" t="s">
        <v>9</v>
      </c>
      <c r="L10" s="18" t="s">
        <v>9</v>
      </c>
      <c r="M10" s="18" t="s">
        <v>10</v>
      </c>
      <c r="N10" s="18" t="s">
        <v>9</v>
      </c>
      <c r="O10" s="18" t="s">
        <v>9</v>
      </c>
      <c r="P10" s="18" t="s">
        <v>9</v>
      </c>
      <c r="Q10" s="18" t="s">
        <v>9</v>
      </c>
      <c r="R10" s="18" t="s">
        <v>10</v>
      </c>
      <c r="S10" s="18" t="s">
        <v>10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customFormat="false" ht="15.75" hidden="false" customHeight="true" outlineLevel="0" collapsed="false">
      <c r="A11" s="17" t="n">
        <v>2</v>
      </c>
      <c r="B11" s="17" t="n">
        <v>25161</v>
      </c>
      <c r="C11" s="17" t="s">
        <v>247</v>
      </c>
      <c r="D11" s="17" t="n">
        <f aca="false">COUNTIF($G11:$BN11,D$9)</f>
        <v>10</v>
      </c>
      <c r="E11" s="17" t="n">
        <f aca="false">COUNTIF($G11:$BN11,E$9)</f>
        <v>3</v>
      </c>
      <c r="F11" s="17" t="n">
        <f aca="false">COUNTIF($G11:$BN11,F$9)</f>
        <v>0</v>
      </c>
      <c r="G11" s="18" t="s">
        <v>9</v>
      </c>
      <c r="H11" s="18" t="s">
        <v>9</v>
      </c>
      <c r="I11" s="18" t="s">
        <v>10</v>
      </c>
      <c r="J11" s="18" t="s">
        <v>10</v>
      </c>
      <c r="K11" s="18" t="s">
        <v>10</v>
      </c>
      <c r="L11" s="18" t="s">
        <v>9</v>
      </c>
      <c r="M11" s="18" t="s">
        <v>9</v>
      </c>
      <c r="N11" s="18" t="s">
        <v>9</v>
      </c>
      <c r="O11" s="18" t="s">
        <v>9</v>
      </c>
      <c r="P11" s="18" t="s">
        <v>9</v>
      </c>
      <c r="Q11" s="18" t="s">
        <v>9</v>
      </c>
      <c r="R11" s="18" t="s">
        <v>9</v>
      </c>
      <c r="S11" s="18" t="s">
        <v>9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customFormat="false" ht="15.75" hidden="false" customHeight="true" outlineLevel="0" collapsed="false">
      <c r="A12" s="17" t="n">
        <v>3</v>
      </c>
      <c r="B12" s="17" t="n">
        <v>26235</v>
      </c>
      <c r="C12" s="17" t="s">
        <v>248</v>
      </c>
      <c r="D12" s="17" t="n">
        <f aca="false">COUNTIF($G12:$BN12,D$9)</f>
        <v>7</v>
      </c>
      <c r="E12" s="17" t="n">
        <f aca="false">COUNTIF($G12:$BN12,E$9)</f>
        <v>6</v>
      </c>
      <c r="F12" s="17" t="n">
        <f aca="false">COUNTIF($G12:$BN12,F$9)</f>
        <v>0</v>
      </c>
      <c r="G12" s="18" t="s">
        <v>9</v>
      </c>
      <c r="H12" s="18" t="s">
        <v>9</v>
      </c>
      <c r="I12" s="18" t="s">
        <v>9</v>
      </c>
      <c r="J12" s="18" t="s">
        <v>10</v>
      </c>
      <c r="K12" s="18" t="s">
        <v>10</v>
      </c>
      <c r="L12" s="18" t="s">
        <v>10</v>
      </c>
      <c r="M12" s="18" t="s">
        <v>9</v>
      </c>
      <c r="N12" s="18" t="s">
        <v>9</v>
      </c>
      <c r="O12" s="18" t="s">
        <v>10</v>
      </c>
      <c r="P12" s="18" t="s">
        <v>10</v>
      </c>
      <c r="Q12" s="18" t="s">
        <v>10</v>
      </c>
      <c r="R12" s="18" t="s">
        <v>9</v>
      </c>
      <c r="S12" s="18" t="s">
        <v>9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customFormat="false" ht="15.75" hidden="false" customHeight="true" outlineLevel="0" collapsed="false">
      <c r="A13" s="17" t="n">
        <v>4</v>
      </c>
      <c r="B13" s="17" t="n">
        <v>26244</v>
      </c>
      <c r="C13" s="17" t="s">
        <v>63</v>
      </c>
      <c r="D13" s="17" t="n">
        <f aca="false">COUNTIF($G13:$BN13,D$9)</f>
        <v>7</v>
      </c>
      <c r="E13" s="17" t="n">
        <f aca="false">COUNTIF($G13:$BN13,E$9)</f>
        <v>6</v>
      </c>
      <c r="F13" s="17" t="n">
        <f aca="false">COUNTIF($G13:$BN13,F$9)</f>
        <v>0</v>
      </c>
      <c r="G13" s="18" t="s">
        <v>9</v>
      </c>
      <c r="H13" s="18" t="s">
        <v>9</v>
      </c>
      <c r="I13" s="18" t="s">
        <v>9</v>
      </c>
      <c r="J13" s="18" t="s">
        <v>9</v>
      </c>
      <c r="K13" s="18" t="s">
        <v>9</v>
      </c>
      <c r="L13" s="18" t="s">
        <v>9</v>
      </c>
      <c r="M13" s="18" t="s">
        <v>9</v>
      </c>
      <c r="N13" s="18" t="s">
        <v>10</v>
      </c>
      <c r="O13" s="18" t="s">
        <v>10</v>
      </c>
      <c r="P13" s="18" t="s">
        <v>10</v>
      </c>
      <c r="Q13" s="18" t="s">
        <v>10</v>
      </c>
      <c r="R13" s="18" t="s">
        <v>10</v>
      </c>
      <c r="S13" s="18" t="s">
        <v>10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customFormat="false" ht="15.75" hidden="false" customHeight="true" outlineLevel="0" collapsed="false">
      <c r="A14" s="17" t="n">
        <v>5</v>
      </c>
      <c r="B14" s="17" t="n">
        <v>26336</v>
      </c>
      <c r="C14" s="17" t="s">
        <v>249</v>
      </c>
      <c r="D14" s="17" t="n">
        <f aca="false">COUNTIF($G14:$BN14,D$9)</f>
        <v>2</v>
      </c>
      <c r="E14" s="17" t="n">
        <f aca="false">COUNTIF($G14:$BN14,E$9)</f>
        <v>11</v>
      </c>
      <c r="F14" s="17" t="n">
        <f aca="false">COUNTIF($G14:$BN14,F$9)</f>
        <v>0</v>
      </c>
      <c r="G14" s="18" t="s">
        <v>9</v>
      </c>
      <c r="H14" s="18" t="s">
        <v>9</v>
      </c>
      <c r="I14" s="18" t="s">
        <v>10</v>
      </c>
      <c r="J14" s="18" t="s">
        <v>10</v>
      </c>
      <c r="K14" s="18" t="s">
        <v>10</v>
      </c>
      <c r="L14" s="18" t="s">
        <v>10</v>
      </c>
      <c r="M14" s="18" t="s">
        <v>10</v>
      </c>
      <c r="N14" s="18" t="s">
        <v>10</v>
      </c>
      <c r="O14" s="18" t="s">
        <v>10</v>
      </c>
      <c r="P14" s="18" t="s">
        <v>10</v>
      </c>
      <c r="Q14" s="18" t="s">
        <v>10</v>
      </c>
      <c r="R14" s="18" t="s">
        <v>10</v>
      </c>
      <c r="S14" s="18" t="s">
        <v>10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customFormat="false" ht="15.75" hidden="false" customHeight="true" outlineLevel="0" collapsed="false">
      <c r="A15" s="17" t="n">
        <v>6</v>
      </c>
      <c r="B15" s="17" t="n">
        <v>25228</v>
      </c>
      <c r="C15" s="17" t="s">
        <v>250</v>
      </c>
      <c r="D15" s="17" t="n">
        <f aca="false">COUNTIF($G15:$BN15,D$9)</f>
        <v>3</v>
      </c>
      <c r="E15" s="17" t="n">
        <f aca="false">COUNTIF($G15:$BN15,E$9)</f>
        <v>10</v>
      </c>
      <c r="F15" s="17" t="n">
        <f aca="false">COUNTIF($G15:$BN15,F$9)</f>
        <v>0</v>
      </c>
      <c r="G15" s="18" t="s">
        <v>9</v>
      </c>
      <c r="H15" s="18" t="s">
        <v>10</v>
      </c>
      <c r="I15" s="18" t="s">
        <v>9</v>
      </c>
      <c r="J15" s="18" t="s">
        <v>10</v>
      </c>
      <c r="K15" s="18" t="s">
        <v>10</v>
      </c>
      <c r="L15" s="18" t="s">
        <v>10</v>
      </c>
      <c r="M15" s="18" t="s">
        <v>9</v>
      </c>
      <c r="N15" s="18" t="s">
        <v>10</v>
      </c>
      <c r="O15" s="18" t="s">
        <v>10</v>
      </c>
      <c r="P15" s="18" t="s">
        <v>10</v>
      </c>
      <c r="Q15" s="18" t="s">
        <v>10</v>
      </c>
      <c r="R15" s="18" t="s">
        <v>10</v>
      </c>
      <c r="S15" s="18" t="s">
        <v>10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customFormat="false" ht="15.75" hidden="false" customHeight="true" outlineLevel="0" collapsed="false">
      <c r="A16" s="17" t="n">
        <v>7</v>
      </c>
      <c r="B16" s="17" t="n">
        <v>25229</v>
      </c>
      <c r="C16" s="17" t="s">
        <v>251</v>
      </c>
      <c r="D16" s="17" t="n">
        <f aca="false">COUNTIF($G16:$BN16,D$9)</f>
        <v>10</v>
      </c>
      <c r="E16" s="17" t="n">
        <f aca="false">COUNTIF($G16:$BN16,E$9)</f>
        <v>3</v>
      </c>
      <c r="F16" s="17" t="n">
        <f aca="false">COUNTIF($G16:$BN16,F$9)</f>
        <v>0</v>
      </c>
      <c r="G16" s="18" t="s">
        <v>9</v>
      </c>
      <c r="H16" s="18" t="s">
        <v>9</v>
      </c>
      <c r="I16" s="18" t="s">
        <v>9</v>
      </c>
      <c r="J16" s="18" t="s">
        <v>10</v>
      </c>
      <c r="K16" s="18" t="s">
        <v>9</v>
      </c>
      <c r="L16" s="18" t="s">
        <v>9</v>
      </c>
      <c r="M16" s="18" t="s">
        <v>9</v>
      </c>
      <c r="N16" s="18" t="s">
        <v>9</v>
      </c>
      <c r="O16" s="18" t="s">
        <v>10</v>
      </c>
      <c r="P16" s="18" t="s">
        <v>10</v>
      </c>
      <c r="Q16" s="18" t="s">
        <v>9</v>
      </c>
      <c r="R16" s="18" t="s">
        <v>9</v>
      </c>
      <c r="S16" s="18" t="s">
        <v>9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customFormat="false" ht="15.75" hidden="false" customHeight="true" outlineLevel="0" collapsed="false">
      <c r="A17" s="17" t="n">
        <v>8</v>
      </c>
      <c r="B17" s="17" t="n">
        <v>26246</v>
      </c>
      <c r="C17" s="17" t="s">
        <v>252</v>
      </c>
      <c r="D17" s="17" t="n">
        <f aca="false">COUNTIF($G17:$BN17,D$9)</f>
        <v>7</v>
      </c>
      <c r="E17" s="17" t="n">
        <f aca="false">COUNTIF($G17:$BN17,E$9)</f>
        <v>6</v>
      </c>
      <c r="F17" s="17" t="n">
        <f aca="false">COUNTIF($G17:$BN17,F$9)</f>
        <v>0</v>
      </c>
      <c r="G17" s="18" t="s">
        <v>9</v>
      </c>
      <c r="H17" s="18" t="s">
        <v>9</v>
      </c>
      <c r="I17" s="18" t="s">
        <v>10</v>
      </c>
      <c r="J17" s="18" t="s">
        <v>9</v>
      </c>
      <c r="K17" s="18" t="s">
        <v>9</v>
      </c>
      <c r="L17" s="18" t="s">
        <v>10</v>
      </c>
      <c r="M17" s="18" t="s">
        <v>10</v>
      </c>
      <c r="N17" s="18" t="s">
        <v>10</v>
      </c>
      <c r="O17" s="18" t="s">
        <v>10</v>
      </c>
      <c r="P17" s="18" t="s">
        <v>10</v>
      </c>
      <c r="Q17" s="18" t="s">
        <v>9</v>
      </c>
      <c r="R17" s="18" t="s">
        <v>9</v>
      </c>
      <c r="S17" s="18" t="s">
        <v>9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customFormat="false" ht="15.75" hidden="false" customHeight="true" outlineLevel="0" collapsed="false">
      <c r="A18" s="17" t="n">
        <v>9</v>
      </c>
      <c r="B18" s="17" t="n">
        <v>26242</v>
      </c>
      <c r="C18" s="17" t="s">
        <v>253</v>
      </c>
      <c r="D18" s="17" t="n">
        <f aca="false">COUNTIF($G18:$BN18,D$9)</f>
        <v>4</v>
      </c>
      <c r="E18" s="17" t="n">
        <f aca="false">COUNTIF($G18:$BN18,E$9)</f>
        <v>9</v>
      </c>
      <c r="F18" s="17" t="n">
        <f aca="false">COUNTIF($G18:$BN18,F$9)</f>
        <v>0</v>
      </c>
      <c r="G18" s="18" t="s">
        <v>9</v>
      </c>
      <c r="H18" s="18" t="s">
        <v>10</v>
      </c>
      <c r="I18" s="18" t="s">
        <v>10</v>
      </c>
      <c r="J18" s="18" t="s">
        <v>10</v>
      </c>
      <c r="K18" s="18" t="s">
        <v>10</v>
      </c>
      <c r="L18" s="18" t="s">
        <v>10</v>
      </c>
      <c r="M18" s="18" t="s">
        <v>10</v>
      </c>
      <c r="N18" s="18" t="s">
        <v>10</v>
      </c>
      <c r="O18" s="18" t="s">
        <v>10</v>
      </c>
      <c r="P18" s="18" t="s">
        <v>10</v>
      </c>
      <c r="Q18" s="18" t="s">
        <v>9</v>
      </c>
      <c r="R18" s="18" t="s">
        <v>9</v>
      </c>
      <c r="S18" s="18" t="s">
        <v>9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customFormat="false" ht="15.75" hidden="false" customHeight="true" outlineLevel="0" collapsed="false">
      <c r="A19" s="17" t="n">
        <v>10</v>
      </c>
      <c r="B19" s="17" t="n">
        <v>26241</v>
      </c>
      <c r="C19" s="17" t="s">
        <v>254</v>
      </c>
      <c r="D19" s="17" t="n">
        <f aca="false">COUNTIF($G19:$BN19,D$9)</f>
        <v>3</v>
      </c>
      <c r="E19" s="17" t="n">
        <f aca="false">COUNTIF($G19:$BN19,E$9)</f>
        <v>10</v>
      </c>
      <c r="F19" s="17" t="n">
        <f aca="false">COUNTIF($G19:$BN19,F$9)</f>
        <v>0</v>
      </c>
      <c r="G19" s="18" t="s">
        <v>9</v>
      </c>
      <c r="H19" s="18" t="s">
        <v>9</v>
      </c>
      <c r="I19" s="18" t="s">
        <v>10</v>
      </c>
      <c r="J19" s="18" t="s">
        <v>10</v>
      </c>
      <c r="K19" s="18" t="s">
        <v>10</v>
      </c>
      <c r="L19" s="18" t="s">
        <v>10</v>
      </c>
      <c r="M19" s="18" t="s">
        <v>10</v>
      </c>
      <c r="N19" s="18" t="s">
        <v>10</v>
      </c>
      <c r="O19" s="18" t="s">
        <v>10</v>
      </c>
      <c r="P19" s="18" t="s">
        <v>9</v>
      </c>
      <c r="Q19" s="18" t="s">
        <v>10</v>
      </c>
      <c r="R19" s="18" t="s">
        <v>10</v>
      </c>
      <c r="S19" s="18" t="s">
        <v>10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customFormat="false" ht="15.75" hidden="false" customHeight="true" outlineLevel="0" collapsed="false">
      <c r="A20" s="17" t="n">
        <v>11</v>
      </c>
      <c r="B20" s="17" t="n">
        <v>26248</v>
      </c>
      <c r="C20" s="17" t="s">
        <v>255</v>
      </c>
      <c r="D20" s="17" t="n">
        <f aca="false">COUNTIF($G20:$BN20,D$9)</f>
        <v>3</v>
      </c>
      <c r="E20" s="17" t="n">
        <f aca="false">COUNTIF($G20:$BN20,E$9)</f>
        <v>10</v>
      </c>
      <c r="F20" s="17" t="n">
        <f aca="false">COUNTIF($G20:$BN20,F$9)</f>
        <v>0</v>
      </c>
      <c r="G20" s="18" t="s">
        <v>9</v>
      </c>
      <c r="H20" s="18" t="s">
        <v>9</v>
      </c>
      <c r="I20" s="18" t="s">
        <v>9</v>
      </c>
      <c r="J20" s="18" t="s">
        <v>10</v>
      </c>
      <c r="K20" s="18" t="s">
        <v>10</v>
      </c>
      <c r="L20" s="18" t="s">
        <v>10</v>
      </c>
      <c r="M20" s="18" t="s">
        <v>10</v>
      </c>
      <c r="N20" s="18" t="s">
        <v>10</v>
      </c>
      <c r="O20" s="18" t="s">
        <v>10</v>
      </c>
      <c r="P20" s="18" t="s">
        <v>10</v>
      </c>
      <c r="Q20" s="18" t="s">
        <v>10</v>
      </c>
      <c r="R20" s="18" t="s">
        <v>10</v>
      </c>
      <c r="S20" s="18" t="s">
        <v>10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customFormat="false" ht="15.75" hidden="false" customHeight="true" outlineLevel="0" collapsed="false">
      <c r="A21" s="17" t="n">
        <v>12</v>
      </c>
      <c r="B21" s="17" t="n">
        <v>25227</v>
      </c>
      <c r="C21" s="17" t="s">
        <v>256</v>
      </c>
      <c r="D21" s="17" t="n">
        <f aca="false">COUNTIF($G21:$BN21,D$9)</f>
        <v>5</v>
      </c>
      <c r="E21" s="17" t="n">
        <f aca="false">COUNTIF($G21:$BN21,E$9)</f>
        <v>8</v>
      </c>
      <c r="F21" s="17" t="n">
        <f aca="false">COUNTIF($G21:$BN21,F$9)</f>
        <v>0</v>
      </c>
      <c r="G21" s="18" t="s">
        <v>9</v>
      </c>
      <c r="H21" s="18" t="s">
        <v>10</v>
      </c>
      <c r="I21" s="18" t="s">
        <v>9</v>
      </c>
      <c r="J21" s="18" t="s">
        <v>10</v>
      </c>
      <c r="K21" s="18" t="s">
        <v>10</v>
      </c>
      <c r="L21" s="18" t="s">
        <v>10</v>
      </c>
      <c r="M21" s="18" t="s">
        <v>10</v>
      </c>
      <c r="N21" s="18" t="s">
        <v>10</v>
      </c>
      <c r="O21" s="18" t="s">
        <v>10</v>
      </c>
      <c r="P21" s="18" t="s">
        <v>10</v>
      </c>
      <c r="Q21" s="18" t="s">
        <v>9</v>
      </c>
      <c r="R21" s="18" t="s">
        <v>9</v>
      </c>
      <c r="S21" s="18" t="s">
        <v>9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customFormat="false" ht="15.75" hidden="false" customHeight="true" outlineLevel="0" collapsed="false">
      <c r="A22" s="17" t="n">
        <v>13</v>
      </c>
      <c r="B22" s="17" t="n">
        <v>26302</v>
      </c>
      <c r="C22" s="17" t="s">
        <v>119</v>
      </c>
      <c r="D22" s="17" t="n">
        <f aca="false">COUNTIF($G22:$BN22,D$9)</f>
        <v>6</v>
      </c>
      <c r="E22" s="17" t="n">
        <f aca="false">COUNTIF($G22:$BN22,E$9)</f>
        <v>7</v>
      </c>
      <c r="F22" s="17" t="n">
        <f aca="false">COUNTIF($G22:$BN22,F$9)</f>
        <v>0</v>
      </c>
      <c r="G22" s="18" t="s">
        <v>9</v>
      </c>
      <c r="H22" s="18" t="s">
        <v>9</v>
      </c>
      <c r="I22" s="18" t="s">
        <v>9</v>
      </c>
      <c r="J22" s="18" t="s">
        <v>9</v>
      </c>
      <c r="K22" s="18" t="s">
        <v>9</v>
      </c>
      <c r="L22" s="18" t="s">
        <v>10</v>
      </c>
      <c r="M22" s="18" t="s">
        <v>9</v>
      </c>
      <c r="N22" s="18" t="s">
        <v>10</v>
      </c>
      <c r="O22" s="18" t="s">
        <v>10</v>
      </c>
      <c r="P22" s="18" t="s">
        <v>10</v>
      </c>
      <c r="Q22" s="18" t="s">
        <v>10</v>
      </c>
      <c r="R22" s="18" t="s">
        <v>10</v>
      </c>
      <c r="S22" s="18" t="s">
        <v>10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customFormat="false" ht="15.75" hidden="false" customHeight="true" outlineLevel="0" collapsed="false">
      <c r="A23" s="17" t="n">
        <v>14</v>
      </c>
      <c r="B23" s="17" t="n">
        <v>26302</v>
      </c>
      <c r="C23" s="17" t="s">
        <v>91</v>
      </c>
      <c r="D23" s="17" t="n">
        <f aca="false">COUNTIF($G23:$BN23,D$9)</f>
        <v>11</v>
      </c>
      <c r="E23" s="17" t="n">
        <f aca="false">COUNTIF($G23:$BN23,E$9)</f>
        <v>2</v>
      </c>
      <c r="F23" s="17" t="n">
        <f aca="false">COUNTIF($G23:$BN23,F$9)</f>
        <v>0</v>
      </c>
      <c r="G23" s="18" t="s">
        <v>9</v>
      </c>
      <c r="H23" s="18" t="s">
        <v>9</v>
      </c>
      <c r="I23" s="18" t="s">
        <v>9</v>
      </c>
      <c r="J23" s="18" t="s">
        <v>10</v>
      </c>
      <c r="K23" s="18" t="s">
        <v>9</v>
      </c>
      <c r="L23" s="18" t="s">
        <v>9</v>
      </c>
      <c r="M23" s="18" t="s">
        <v>9</v>
      </c>
      <c r="N23" s="18" t="s">
        <v>9</v>
      </c>
      <c r="O23" s="18" t="s">
        <v>9</v>
      </c>
      <c r="P23" s="18" t="s">
        <v>9</v>
      </c>
      <c r="Q23" s="18" t="s">
        <v>9</v>
      </c>
      <c r="R23" s="18" t="s">
        <v>9</v>
      </c>
      <c r="S23" s="18" t="s">
        <v>10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customFormat="false" ht="15.75" hidden="false" customHeight="true" outlineLevel="0" collapsed="false">
      <c r="A24" s="17" t="n">
        <v>15</v>
      </c>
      <c r="B24" s="17"/>
      <c r="C24" s="17" t="s">
        <v>257</v>
      </c>
      <c r="D24" s="17" t="n">
        <f aca="false">COUNTIF($G24:$BN24,D$9)</f>
        <v>5</v>
      </c>
      <c r="E24" s="17" t="n">
        <f aca="false">COUNTIF($G24:$BN24,E$9)</f>
        <v>0</v>
      </c>
      <c r="F24" s="17" t="n">
        <f aca="false">COUNTIF($G24:$BN24,F$9)</f>
        <v>0</v>
      </c>
      <c r="G24" s="18"/>
      <c r="H24" s="18"/>
      <c r="I24" s="18"/>
      <c r="J24" s="18"/>
      <c r="K24" s="18"/>
      <c r="L24" s="18"/>
      <c r="M24" s="18"/>
      <c r="N24" s="18"/>
      <c r="O24" s="18" t="s">
        <v>9</v>
      </c>
      <c r="P24" s="18" t="s">
        <v>9</v>
      </c>
      <c r="Q24" s="18" t="s">
        <v>9</v>
      </c>
      <c r="R24" s="18" t="s">
        <v>9</v>
      </c>
      <c r="S24" s="18" t="s">
        <v>9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customFormat="false" ht="15.75" hidden="false" customHeight="true" outlineLevel="0" collapsed="false">
      <c r="A25" s="17" t="n">
        <v>16</v>
      </c>
      <c r="B25" s="17"/>
      <c r="C25" s="17"/>
      <c r="D25" s="17" t="n">
        <f aca="false">COUNTIF($G25:$BN25,D$9)</f>
        <v>0</v>
      </c>
      <c r="E25" s="17" t="n">
        <f aca="false">COUNTIF($G25:$BN25,E$9)</f>
        <v>0</v>
      </c>
      <c r="F25" s="17" t="n">
        <f aca="false">COUNTIF($G25:$BN25,F$9)</f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customFormat="false" ht="15.75" hidden="false" customHeight="true" outlineLevel="0" collapsed="false">
      <c r="A26" s="17"/>
      <c r="B26" s="17"/>
      <c r="C26" s="17"/>
      <c r="D26" s="17" t="n">
        <f aca="false">COUNTIF($G26:$BN26,D$9)</f>
        <v>0</v>
      </c>
      <c r="E26" s="17" t="n">
        <f aca="false">COUNTIF($G26:$BN26,E$9)</f>
        <v>0</v>
      </c>
      <c r="F26" s="17" t="n">
        <f aca="false">COUNTIF($G26:$BN26,F$9)</f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customFormat="false" ht="15.75" hidden="false" customHeight="true" outlineLevel="0" collapsed="false">
      <c r="A27" s="17"/>
      <c r="B27" s="17"/>
      <c r="C27" s="17"/>
      <c r="D27" s="17" t="n">
        <f aca="false">COUNTIF($G27:$BN27,D$9)</f>
        <v>0</v>
      </c>
      <c r="E27" s="17" t="n">
        <f aca="false">COUNTIF($G27:$BN27,E$9)</f>
        <v>0</v>
      </c>
      <c r="F27" s="17" t="n">
        <f aca="false">COUNTIF($G27:$BN27,F$9)</f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customFormat="false" ht="15.75" hidden="false" customHeight="true" outlineLevel="0" collapsed="false">
      <c r="A28" s="17"/>
      <c r="B28" s="17"/>
      <c r="C28" s="17"/>
      <c r="D28" s="17" t="n">
        <f aca="false">COUNTIF($G28:$BN28,D$9)</f>
        <v>0</v>
      </c>
      <c r="E28" s="17" t="n">
        <f aca="false">COUNTIF($G28:$BN28,E$9)</f>
        <v>0</v>
      </c>
      <c r="F28" s="17" t="n">
        <f aca="false">COUNTIF($G28:$BN28,F$9)</f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</row>
    <row r="29" customFormat="false" ht="15.75" hidden="false" customHeight="true" outlineLevel="0" collapsed="false">
      <c r="A29" s="17"/>
      <c r="B29" s="17"/>
      <c r="C29" s="17"/>
      <c r="D29" s="17" t="n">
        <f aca="false">COUNTIF($G29:$BN29,D$9)</f>
        <v>0</v>
      </c>
      <c r="E29" s="17" t="n">
        <f aca="false">COUNTIF($G29:$BN29,E$9)</f>
        <v>0</v>
      </c>
      <c r="F29" s="17" t="n">
        <f aca="false">COUNTIF($G29:$BN29,F$9)</f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G2:U4"/>
    <mergeCell ref="J6:Q6"/>
  </mergeCells>
  <dataValidations count="3">
    <dataValidation allowBlank="true" errorStyle="stop" operator="between" showDropDown="false" showErrorMessage="true" showInputMessage="false" sqref="G10:BN29" type="list">
      <formula1>"P,A,E,OFF DAY"</formula1>
      <formula2>0</formula2>
    </dataValidation>
    <dataValidation allowBlank="true" errorStyle="stop" operator="between" showDropDown="false" showErrorMessage="true" showInputMessage="false" sqref="B2" type="list">
      <formula1>"CONTINUE,COMPLETE,MIDDLE CLOSED"</formula1>
      <formula2>0</formula2>
    </dataValidation>
    <dataValidation allowBlank="true" errorStyle="stop" operator="between" showDropDown="false" showErrorMessage="true" showInputMessage="false" sqref="G7:BN7" type="list">
      <formula1>"SHAKIL,TANVIR ISLAM,SOFIQUL ISLAM"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2026-09-15T04:32:37Z</dcterms:created>
  <dc:creator>openpyxl</dc:creator>
  <dc:description/>
  <dc:language>en-US</dc:language>
  <cp:lastModifiedBy/>
  <dcterms:modified xsi:type="dcterms:W3CDTF">2026-09-15T04:32:37Z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